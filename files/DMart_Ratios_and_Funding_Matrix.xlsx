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mpany Snapshot" sheetId="1" state="visible" r:id="rId3"/>
    <sheet name="2. Ratio Analysis" sheetId="2" state="visible" r:id="rId4"/>
    <sheet name="3. Funding Options Matrix" sheetId="3" state="visible" r:id="rId5"/>
    <sheet name="4. Risk Dashboard" sheetId="4" state="visible" r:id="rId6"/>
    <sheet name="5. Recommendation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<sst xmlns="http://schemas.openxmlformats.org/spreadsheetml/2006/main" count="290" uniqueCount="261">
  <si>
    <t xml:space="preserve">AVENUE SUPERMARTS LIMITED (DMART) - COMPANY SNAPSHOT</t>
  </si>
  <si>
    <t xml:space="preserve">Consolidated financials | All figures in Rs. Crore unless stated otherwise | FY ends 31 March</t>
  </si>
  <si>
    <t xml:space="preserve">Source: Avenue Supermarts Ltd Annual Reports FY2023-24 (p.180-183), FY2024-25 and FY2025-26 (p.194-197). Consolidated statements used throughout.</t>
  </si>
  <si>
    <t xml:space="preserve">COMPANY PURPOSE AND BUSINESS MODEL</t>
  </si>
  <si>
    <t xml:space="preserve">DMart is an owned-store, value-retail supermarket chain operating on an Everyday Low Cost / Everyday Low Price (EDLC/EDLP) model.</t>
  </si>
  <si>
    <t xml:space="preserve">Revenue is driven by Foods, Non-Foods (FMCG) and General Merchandise &amp; Apparel sold at deep discounts on high volumes and fast stock turns.</t>
  </si>
  <si>
    <t xml:space="preserve">The distinguishing capital-structure feature is that DMart BUYS its store real estate rather than leasing it. This converts an operating cost into</t>
  </si>
  <si>
    <t xml:space="preserve">an upfront capital cost, giving low rent expense and high EBITDA per store, but making the business permanently capex-hungry.</t>
  </si>
  <si>
    <t xml:space="preserve">Growth is therefore a funding question, not a demand question: every incremental store needs land, building and fit-out capital before it earns.</t>
  </si>
  <si>
    <t xml:space="preserve">As at 31 March 2026: 500 stores, 20.58 mn sq ft retail business area, 84 distribution centres, 12 packing centres across 15 states, 1 UT and NCR.</t>
  </si>
  <si>
    <t xml:space="preserve">Particulars</t>
  </si>
  <si>
    <t xml:space="preserve">FY2024</t>
  </si>
  <si>
    <t xml:space="preserve">FY2025</t>
  </si>
  <si>
    <t xml:space="preserve">FY2026</t>
  </si>
  <si>
    <t xml:space="preserve">Source / Note</t>
  </si>
  <si>
    <t xml:space="preserve">A. PROFIT &amp; LOSS (CONSOLIDATED)</t>
  </si>
  <si>
    <t xml:space="preserve">Revenue from operations</t>
  </si>
  <si>
    <t xml:space="preserve">Consolidated P&amp;L, Annual Report</t>
  </si>
  <si>
    <t xml:space="preserve">Other income</t>
  </si>
  <si>
    <t xml:space="preserve">Total income</t>
  </si>
  <si>
    <t xml:space="preserve">Formula: Revenue + Other income</t>
  </si>
  <si>
    <t xml:space="preserve">Purchase of stock-in-trade</t>
  </si>
  <si>
    <t xml:space="preserve">Changes in inventories of stock-in-trade</t>
  </si>
  <si>
    <t xml:space="preserve">Consolidated P&amp;L, Annual Report (negative = inventory build-up)</t>
  </si>
  <si>
    <t xml:space="preserve">Employee benefits expense</t>
  </si>
  <si>
    <t xml:space="preserve">Other expenses</t>
  </si>
  <si>
    <t xml:space="preserve">EBITDA</t>
  </si>
  <si>
    <t xml:space="preserve">Formula: Revenue from operations less operating costs. Excludes Other income. Post Ind AS 116 (store rent sits in D&amp;A and finance cost).</t>
  </si>
  <si>
    <t xml:space="preserve">Depreciation and amortisation expense</t>
  </si>
  <si>
    <t xml:space="preserve">EBIT</t>
  </si>
  <si>
    <t xml:space="preserve">Formula: EBITDA less D&amp;A</t>
  </si>
  <si>
    <t xml:space="preserve">Finance cost</t>
  </si>
  <si>
    <t xml:space="preserve">Consolidated P&amp;L, Annual Report. Largely interest on lease liabilities until FY25.</t>
  </si>
  <si>
    <t xml:space="preserve">Profit before tax</t>
  </si>
  <si>
    <t xml:space="preserve">Formula: EBIT + Other income - Finance cost. Ties to reported PBT.</t>
  </si>
  <si>
    <t xml:space="preserve">Total tax expense</t>
  </si>
  <si>
    <t xml:space="preserve">Profit after tax (PAT)</t>
  </si>
  <si>
    <t xml:space="preserve">Formula: PBT less tax</t>
  </si>
  <si>
    <t xml:space="preserve">PAT attributable to owners of the Company</t>
  </si>
  <si>
    <t xml:space="preserve">Consolidated P&amp;L, Annual Report (used for ROE)</t>
  </si>
  <si>
    <t xml:space="preserve">EPS - Basic (Rs.)</t>
  </si>
  <si>
    <t xml:space="preserve">B. BALANCE SHEET (AS AT 31 MARCH)</t>
  </si>
  <si>
    <t xml:space="preserve">Equity share capital</t>
  </si>
  <si>
    <t xml:space="preserve">Consolidated Balance Sheet, Annual Report</t>
  </si>
  <si>
    <t xml:space="preserve">Other equity</t>
  </si>
  <si>
    <t xml:space="preserve">Equity attributable to owners</t>
  </si>
  <si>
    <t xml:space="preserve">Formula: Share capital + Other equity</t>
  </si>
  <si>
    <t xml:space="preserve">Non-controlling interest</t>
  </si>
  <si>
    <t xml:space="preserve">Total equity / Net worth</t>
  </si>
  <si>
    <t xml:space="preserve">Formula: Equity attributable + NCI</t>
  </si>
  <si>
    <t xml:space="preserve">Borrowings (current, incl. bank overdraft)</t>
  </si>
  <si>
    <t xml:space="preserve">Consolidated Balance Sheet, Annual Report. Nil until FY25; FY26 = Rs.585 Cr short-term borrowings + Rs.380.27 Cr bank overdraft.</t>
  </si>
  <si>
    <t xml:space="preserve">Lease liabilities - non-current</t>
  </si>
  <si>
    <t xml:space="preserve">Lease liabilities - current</t>
  </si>
  <si>
    <t xml:space="preserve">Total lease liabilities</t>
  </si>
  <si>
    <t xml:space="preserve">Formula: Non-current + Current lease liabilities</t>
  </si>
  <si>
    <t xml:space="preserve">Total debt (incl. lease liabilities)</t>
  </si>
  <si>
    <t xml:space="preserve">Formula: Borrowings + Lease liabilities. Rating agencies treat leases as debt-like.</t>
  </si>
  <si>
    <t xml:space="preserve">Cash and cash equivalents</t>
  </si>
  <si>
    <t xml:space="preserve">Bank balances other than cash and cash equivalents</t>
  </si>
  <si>
    <t xml:space="preserve">Current investments</t>
  </si>
  <si>
    <t xml:space="preserve">Total cash and liquid investments</t>
  </si>
  <si>
    <t xml:space="preserve">Formula: Sum of above three lines</t>
  </si>
  <si>
    <t xml:space="preserve">Net debt</t>
  </si>
  <si>
    <t xml:space="preserve">Formula: Total debt less cash and liquid investments</t>
  </si>
  <si>
    <t xml:space="preserve">Total assets</t>
  </si>
  <si>
    <t xml:space="preserve">Capital employed</t>
  </si>
  <si>
    <t xml:space="preserve">Formula: Net worth + Total debt</t>
  </si>
  <si>
    <t xml:space="preserve">Inventories</t>
  </si>
  <si>
    <t xml:space="preserve">C. CASH FLOW</t>
  </si>
  <si>
    <t xml:space="preserve">Net cash flow from operating activities (CFO)</t>
  </si>
  <si>
    <t xml:space="preserve">Consolidated Statement of Cash Flows, Annual Report (after direct taxes paid)</t>
  </si>
  <si>
    <t xml:space="preserve">Capital expenditure (net)</t>
  </si>
  <si>
    <t xml:space="preserve">Consolidated Statement of Cash Flows. FY2026/FY2025 line is purchase of PPE, intangibles, CWIP, capital advances and capital creditors (net); FY2024 line is purchase of PPE, intangibles and investment properties. Slight definitional difference between reports - noted for transparency. Entered as positive.</t>
  </si>
  <si>
    <t xml:space="preserve">Free cash flow</t>
  </si>
  <si>
    <t xml:space="preserve">Formula: CFO less capex. This is the funding gap the company must bridge.</t>
  </si>
  <si>
    <t xml:space="preserve">D. OPERATING AND CREDIT METRICS</t>
  </si>
  <si>
    <t xml:space="preserve">Number of stores</t>
  </si>
  <si>
    <t xml:space="preserve">Management Discussion &amp; Analysis, Annual Report</t>
  </si>
  <si>
    <t xml:space="preserve">Retail business area (mn sq ft)</t>
  </si>
  <si>
    <t xml:space="preserve">Revenue from sales per sq ft of retail business area (Rs.)</t>
  </si>
  <si>
    <t xml:space="preserve">MD&amp;A, Annual Report (annualised, standalone basis)</t>
  </si>
  <si>
    <t xml:space="preserve">Credit rating - long term (bank facilities)</t>
  </si>
  <si>
    <t xml:space="preserve">CRISIL AAA / Stable</t>
  </si>
  <si>
    <t xml:space="preserve">Board's Report FY2025-26: CRISIL AAA/Stable reaffirmed on Rs.500 Cr bank facilities; ICRA [A1+] on Rs.500 Cr commercial paper (limit raised from Rs.300 Cr).</t>
  </si>
  <si>
    <t xml:space="preserve">Promoter and promoter group holding (%)</t>
  </si>
  <si>
    <t xml:space="preserve">Note 47 Shareholding of Promoters, FY2025-26: 48,57,96,256 of 65,19,59,123 shares = 74.51%. Only 0.49% headroom below the 75% SEBI maximum public-shareholding cap.</t>
  </si>
  <si>
    <t xml:space="preserve">MEMO: FY2023 OPENING FIGURES (required for growth rates and average-based ROCE / ROE)</t>
  </si>
  <si>
    <t xml:space="preserve">Revenue from operations - FY2023</t>
  </si>
  <si>
    <t xml:space="preserve">Comparative column, Consolidated P&amp;L, Annual Report FY2023-24</t>
  </si>
  <si>
    <t xml:space="preserve">Profit after tax - FY2023</t>
  </si>
  <si>
    <t xml:space="preserve">Total equity / Net worth - as at 31 Mar 2023</t>
  </si>
  <si>
    <t xml:space="preserve">Comparative column, Consolidated Balance Sheet, Annual Report FY2023-24</t>
  </si>
  <si>
    <t xml:space="preserve">Equity attributable to owners - as at 31 Mar 2023</t>
  </si>
  <si>
    <t xml:space="preserve">Total debt incl. lease liabilities - as at 31 Mar 2023</t>
  </si>
  <si>
    <t xml:space="preserve">Lease liabilities Rs.476.66 Cr non-current + Rs.166.32 Cr current; borrowings nil</t>
  </si>
  <si>
    <t xml:space="preserve">Capital employed - as at 31 Mar 2023</t>
  </si>
  <si>
    <t xml:space="preserve">Formula: Net worth + Total debt as at 31 Mar 2023</t>
  </si>
  <si>
    <t xml:space="preserve">LEGEND</t>
  </si>
  <si>
    <t xml:space="preserve">Blue figures = hardcoded, taken directly from the audited Annual Report. Black figures = calculated by formula within this workbook.</t>
  </si>
  <si>
    <t xml:space="preserve">Basis note: all figures are CONSOLIDATED. EBITDA is computed from revenue from operations less operating costs and therefore excludes other income. Because DMart reports under Ind AS 116, store lease rentals appear as depreciation on right-of-use assets and interest on lease liabilities rather than as rent, so EBITDA is flattered relative to a pre-Ind AS 116 basis and lease liabilities are included in total debt.</t>
  </si>
  <si>
    <t xml:space="preserve">AVENUE SUPERMARTS LIMITED (DMART) - RATIO ANALYSIS</t>
  </si>
  <si>
    <t xml:space="preserve">Consolidated basis. Every cell below is a live formula linked to Sheet '1. Company Snapshot' - no hardcoded ratios.</t>
  </si>
  <si>
    <t xml:space="preserve">Ratio</t>
  </si>
  <si>
    <t xml:space="preserve">Definition used</t>
  </si>
  <si>
    <t xml:space="preserve">What it indicates</t>
  </si>
  <si>
    <t xml:space="preserve">A. LEVERAGE</t>
  </si>
  <si>
    <t xml:space="preserve">Debt-Equity (incl. lease liabilities)</t>
  </si>
  <si>
    <t xml:space="preserve">Total debt incl. leases / Net worth</t>
  </si>
  <si>
    <t xml:space="preserve">Total debt (including capitalised leases) is under a tenth of net worth. The company is funding itself almost entirely from retained earnings, so the rise from 0.03x to 0.10x reflects the start of borrowing rather than any strain.</t>
  </si>
  <si>
    <t xml:space="preserve">Debt-Equity (borrowings only)</t>
  </si>
  <si>
    <t xml:space="preserve">Borrowings / Net worth</t>
  </si>
  <si>
    <t xml:space="preserve">Strips out leases to show pure funded debt. Nil in FY2024 and FY2025, 0.04x in FY2026 - this is the first year DMart carried borrowings at all, which marks a genuine shift in funding policy.</t>
  </si>
  <si>
    <t xml:space="preserve">Net Debt / EBITDA</t>
  </si>
  <si>
    <t xml:space="preserve">(Total debt - cash and liquid investments) / EBITDA</t>
  </si>
  <si>
    <t xml:space="preserve">Moves from net cash to modest net debt as capex outpaces cash generation. The absolute level remains low, so the ratio is signalling a change in direction rather than a level of risk.</t>
  </si>
  <si>
    <t xml:space="preserve">Net Debt / Equity</t>
  </si>
  <si>
    <t xml:space="preserve">Net debt / Net worth</t>
  </si>
  <si>
    <t xml:space="preserve">Cross-checks the same story against net worth. Growth is still being financed overwhelmingly out of internal accruals, not external capital.</t>
  </si>
  <si>
    <t xml:space="preserve">B. COVERAGE</t>
  </si>
  <si>
    <t xml:space="preserve">Interest Coverage (EBIT basis)</t>
  </si>
  <si>
    <t xml:space="preserve">EBIT / Finance cost</t>
  </si>
  <si>
    <t xml:space="preserve">The fall from 58x to 29x looks steep but is arithmetic: the denominator is growing from a near-zero base. Operating profit still covers the interest charge around thirty times over.</t>
  </si>
  <si>
    <t xml:space="preserve">Interest Coverage (EBITDA basis)</t>
  </si>
  <si>
    <t xml:space="preserve">EBITDA / Finance cost</t>
  </si>
  <si>
    <t xml:space="preserve">The cash-based version of coverage. It confirms that debt servicing is not a binding constraint at current or plausible future debt levels.</t>
  </si>
  <si>
    <t xml:space="preserve">C. PROFITABILITY AND RETURNS</t>
  </si>
  <si>
    <t xml:space="preserve">EBITDA margin</t>
  </si>
  <si>
    <t xml:space="preserve">EBITDA / Revenue from operations</t>
  </si>
  <si>
    <t xml:space="preserve">Margins are structurally thin because the model is deep-discount grocery - profit comes from volume and stock turn, not mark-up. The mild compression reflects a higher proportion of newly opened, not-yet-mature stores and a growing FMCG mix.</t>
  </si>
  <si>
    <t xml:space="preserve">PAT margin</t>
  </si>
  <si>
    <t xml:space="preserve">PAT / Revenue from operations</t>
  </si>
  <si>
    <t xml:space="preserve">Net margin narrows faster than EBITDA margin, which points to the rising depreciation and interest load created by the owned-store capex programme rather than to weakness in trading.</t>
  </si>
  <si>
    <t xml:space="preserve">ROCE</t>
  </si>
  <si>
    <t xml:space="preserve">EBIT / Average capital employed</t>
  </si>
  <si>
    <t xml:space="preserve">Returns on capital remain well above any realistic cost of borrowing, so capital deployed into new stores is still creating value. The gradual decline is the expected drag of immature stores in the denominator.</t>
  </si>
  <si>
    <t xml:space="preserve">ROE</t>
  </si>
  <si>
    <t xml:space="preserve">PAT attributable to owners / Average equity attributable to owners</t>
  </si>
  <si>
    <t xml:space="preserve">Falling ROE on a balance sheet with almost no leverage indicates that equity is carrying the entire capital structure. Introducing cheaper debt would mechanically lift this ratio.</t>
  </si>
  <si>
    <t xml:space="preserve">D. SUPPORTING INDICATORS FOR THE FUNDING DECISION</t>
  </si>
  <si>
    <t xml:space="preserve">Revenue growth (YoY)</t>
  </si>
  <si>
    <t xml:space="preserve">Current year revenue / Prior year revenue - 1</t>
  </si>
  <si>
    <t xml:space="preserve">Sustained mid-to-high teens top-line growth across all three years, driven by store additions (365 to 500) rather than by price. This is the evidence that the expansion is demand-backed.</t>
  </si>
  <si>
    <t xml:space="preserve">PAT growth (YoY)</t>
  </si>
  <si>
    <t xml:space="preserve">Current year PAT / Prior year PAT - 1</t>
  </si>
  <si>
    <t xml:space="preserve">Profit is growing more slowly than revenue in every year, confirming that the cost of growth - depreciation, interest and pre-maturity store losses - is currently outrunning the revenue it generates.</t>
  </si>
  <si>
    <t xml:space="preserve">Cash conversion (CFO / EBITDA)</t>
  </si>
  <si>
    <t xml:space="preserve">Net cash flow from operations / EBITDA</t>
  </si>
  <si>
    <t xml:space="preserve">Around two-thirds of EBITDA converts to operating cash. Earnings are cash-backed rather than accrual-driven, which is what makes a thin-margin model financeable.</t>
  </si>
  <si>
    <t xml:space="preserve">Capex / CFO</t>
  </si>
  <si>
    <t xml:space="preserve">Capital expenditure / Net cash flow from operations</t>
  </si>
  <si>
    <t xml:space="preserve">Capital spending equals or exceeds everything operations generate. This ratio quantifies the funding gap directly.</t>
  </si>
  <si>
    <t xml:space="preserve">Free cash flow (Rs. Cr)</t>
  </si>
  <si>
    <t xml:space="preserve">CFO less capex</t>
  </si>
  <si>
    <t xml:space="preserve">Roughly breakeven in FY2024, then clearly negative as the store-addition rate stepped up. Internal accruals alone no longer cover the growth plan, which is precisely why an external raise arises.</t>
  </si>
  <si>
    <t xml:space="preserve">HOW TO READ THIS SHEET</t>
  </si>
  <si>
    <t xml:space="preserve">Green figures are live links to Sheet '1. Company Snapshot'. Change any input there and every ratio here updates. Ratios are on a consolidated, Ind AS 116 basis; lease liabilities are included in total debt because rating agencies capitalise them. ROCE and ROE use average capital employed and average equity respectively, which is why FY2023 opening balances are carried in the memo block of Sheet 1.</t>
  </si>
  <si>
    <t xml:space="preserve">FUNDING OPTIONS MATRIX - SCORING OF FOUR ROUTES</t>
  </si>
  <si>
    <t xml:space="preserve">Each route scored 1 (worst) to 5 (best) on seven criteria. Weighted score = SUMPRODUCT of scores and weights. Rs 1,000 crore requirement.</t>
  </si>
  <si>
    <t xml:space="preserve">Scoring key:  5 = clearly favourable   4 = favourable   3 = neutral   2 = unfavourable   1 = clearly unfavourable</t>
  </si>
  <si>
    <t xml:space="preserve">Criterion</t>
  </si>
  <si>
    <t xml:space="preserve">Weight</t>
  </si>
  <si>
    <t xml:space="preserve">1. NCD (bond)</t>
  </si>
  <si>
    <t xml:space="preserve">2. Term loan</t>
  </si>
  <si>
    <t xml:space="preserve">3. Commercial paper</t>
  </si>
  <si>
    <t xml:space="preserve">4. QIP (equity)</t>
  </si>
  <si>
    <t xml:space="preserve">Cost of capital (post-tax)</t>
  </si>
  <si>
    <t xml:space="preserve">NCD 5.4-5.7%; loan 5.8-6.4%; CP 4.8-5.4%; equity 11-12%</t>
  </si>
  <si>
    <t xml:space="preserve">Tenor match to 20-year store assets</t>
  </si>
  <si>
    <t xml:space="preserve">CP must be refinanced every 90 days; all others are multi-year or permanent</t>
  </si>
  <si>
    <t xml:space="preserve">Rating impact</t>
  </si>
  <si>
    <t xml:space="preserve">CRISIL trigger is gearing above 0.20x; CP creates refinancing risk</t>
  </si>
  <si>
    <t xml:space="preserve">Dilution of ownership</t>
  </si>
  <si>
    <t xml:space="preserve">Only the QIP issues new shares (about 0.42%)</t>
  </si>
  <si>
    <t xml:space="preserve">Speed of execution</t>
  </si>
  <si>
    <t xml:space="preserve">CP in days; loan 2-4 weeks; NCD 4-8 weeks; QIP needs a special resolution</t>
  </si>
  <si>
    <t xml:space="preserve">Control and covenants</t>
  </si>
  <si>
    <t xml:space="preserve">Bank loans carry the tightest covenants; equity permanently cedes votes</t>
  </si>
  <si>
    <t xml:space="preserve">Market perception</t>
  </si>
  <si>
    <t xml:space="preserve">Share price near a 52-week low makes an equity issue read as weakness</t>
  </si>
  <si>
    <t xml:space="preserve">Total weight</t>
  </si>
  <si>
    <t xml:space="preserve">WEIGHTED SCORE</t>
  </si>
  <si>
    <t xml:space="preserve">RANK</t>
  </si>
  <si>
    <t xml:space="preserve">VERDICT</t>
  </si>
  <si>
    <t xml:space="preserve">The NCD wins because it is the only route that scores well on all three of the heavily weighted criteria at once: cost, tenor and rating impact.</t>
  </si>
  <si>
    <t xml:space="preserve">Note on commercial paper</t>
  </si>
  <si>
    <t xml:space="preserve">CP scores highest on cost and speed but is disqualified by tenor: DMart redeemed Rs 300 Cr on 7 Sep 2026 and reissued the same amount on 8 Sep 2026. Funding a 20-year store this way means repeating that cycle about 80 times.</t>
  </si>
  <si>
    <t xml:space="preserve">CREDIT / MARKET RISK DASHBOARD</t>
  </si>
  <si>
    <t xml:space="preserve">Traffic-light view. Status is formula-driven from the linked FY2026 figures and the stated threshold. Green = no concern, Amber = monitor, Red = principal risk.</t>
  </si>
  <si>
    <t xml:space="preserve">Risk area</t>
  </si>
  <si>
    <t xml:space="preserve">Measure</t>
  </si>
  <si>
    <t xml:space="preserve">FY2026 actual</t>
  </si>
  <si>
    <t xml:space="preserve">Status</t>
  </si>
  <si>
    <t xml:space="preserve">Threshold / benchmark</t>
  </si>
  <si>
    <t xml:space="preserve">Comment</t>
  </si>
  <si>
    <t xml:space="preserve">Leverage</t>
  </si>
  <si>
    <t xml:space="preserve">Debt-equity including leases</t>
  </si>
  <si>
    <t xml:space="preserve">CRISIL's published downgrade trigger is gearing above 0.20x sustained. Rose from 0.04x to 0.10x in one year; the Rs 1,000 Cr bond takes it to about 0.14x, roughly 70% of the way to the line.</t>
  </si>
  <si>
    <t xml:space="preserve">Net debt / EBITDA</t>
  </si>
  <si>
    <t xml:space="preserve">Comfortable. Under 3.0x is the normal investment-grade zone for a retailer. Moved from net cash in FY2024 to modest net debt.</t>
  </si>
  <si>
    <t xml:space="preserve">Coverage</t>
  </si>
  <si>
    <t xml:space="preserve">Interest coverage (EBIT / finance cost)</t>
  </si>
  <si>
    <t xml:space="preserve">Very strong. Falls to about 19x after the bond, still far beyond any lender concern. Company's own disclosed figure for Q1 FY27 is 21.65x.</t>
  </si>
  <si>
    <t xml:space="preserve">Cash flow</t>
  </si>
  <si>
    <t xml:space="preserve">Capex / cash flow from operations</t>
  </si>
  <si>
    <t xml:space="preserve">Above 100%, so spending exceeds what operations generate. Free cash flow was negative in both FY2025 and FY2026. This is the reason external funding is needed at all.</t>
  </si>
  <si>
    <t xml:space="preserve">Healthy. About two-thirds of operating profit converts to cash, which is what makes a thin-margin retailer financeable.</t>
  </si>
  <si>
    <t xml:space="preserve">Profitability</t>
  </si>
  <si>
    <t xml:space="preserve">Structurally thin and slowly eroding, from 8.08% in FY2024. Employee costs rose 33% in FY2026 and revenue per sq ft fell for the first time.</t>
  </si>
  <si>
    <t xml:space="preserve">Dilution</t>
  </si>
  <si>
    <t xml:space="preserve">Promoter holding</t>
  </si>
  <si>
    <t xml:space="preserve">74.48% as on 30 June 2026, with nil shares pledged or encumbered. The recommended route issues no equity, so there is no dilution at all.</t>
  </si>
  <si>
    <t xml:space="preserve">Sector</t>
  </si>
  <si>
    <t xml:space="preserve">Online arm annual loss (Rs Cr)</t>
  </si>
  <si>
    <t xml:space="preserve">DMart Ready has never been profitable in seven years, losing about Rs 1,235 Cr cumulatively, and the loss widened to Rs 307 Cr in FY2026. Cities cut from 24 to 11. Quick commerce is the principal structural risk.</t>
  </si>
  <si>
    <t xml:space="preserve">OVERALL</t>
  </si>
  <si>
    <t xml:space="preserve">Credit quality is strong; the risk sits in the income statement and the sector, not the balance sheet.</t>
  </si>
  <si>
    <t xml:space="preserve">RECOMMENDATION</t>
  </si>
  <si>
    <t xml:space="preserve">Raise Rs 1,000 crore through the approved and AAA-rated NCD. Hold gearing below 0.15x to keep a deliberate buffer under CRISIL's 0.20x trigger. Use part of the proceeds to clear the Rs 380 crore overdraft and stop rolling commercial paper.</t>
  </si>
  <si>
    <t xml:space="preserve">RECOMMENDATION SUMMARY</t>
  </si>
  <si>
    <t xml:space="preserve">Avenue Supermarts Limited (DMart) - Rs 1,000 crore funding requirement for store expansion capital expenditure</t>
  </si>
  <si>
    <t xml:space="preserve">SELECTED ROUTE</t>
  </si>
  <si>
    <t xml:space="preserve">Listed non-convertible debentures (NCDs) of Rs 1,000 crore, private placement, in one or more tranches</t>
  </si>
  <si>
    <t xml:space="preserve">Indicative pricing</t>
  </si>
  <si>
    <t xml:space="preserve">Fixed coupon of approximately 7.25% to 7.60%; post-tax cost of about 5.4% to 5.7%</t>
  </si>
  <si>
    <t xml:space="preserve">Tenor</t>
  </si>
  <si>
    <t xml:space="preserve">3 to 5 years, matched against owned store assets with a 20-year life</t>
  </si>
  <si>
    <t xml:space="preserve">Board approved 11 July 2026. CRISIL assigned AAA/Stable to the instrument on 31 August 2026. No allotment filing published as at 15 September 2026, so the issue is rated but not yet placed.</t>
  </si>
  <si>
    <t xml:space="preserve">Why this route</t>
  </si>
  <si>
    <t xml:space="preserve">Cheapest capital whose tenor matches the asset, no equity dilution at a time when the share price is near a 52-week low, and the rating agency has already confirmed the company can carry it at AAA.</t>
  </si>
  <si>
    <t xml:space="preserve">REJECTED ALTERNATIVES</t>
  </si>
  <si>
    <t xml:space="preserve">Route</t>
  </si>
  <si>
    <t xml:space="preserve">Why rejected</t>
  </si>
  <si>
    <t xml:space="preserve">QIP (equity)</t>
  </si>
  <si>
    <t xml:space="preserve">Post-tax cost of 11-12% is roughly double the bond. Rs 1,000 Cr dilutes by only 0.42%, so the full signalling cost of an equity issue would be absorbed for very little capital, at a share price near its one-year low.</t>
  </si>
  <si>
    <t xml:space="preserve">Commercial paper</t>
  </si>
  <si>
    <t xml:space="preserve">Cheapest on rate but matures in 90 days. DMart redeemed Rs 300 Cr on 7 Sep 2026 and reissued the same amount on 8 Sep 2026. Funding 20-year assets this way creates exactly the refinancing risk rating agencies penalise.</t>
  </si>
  <si>
    <t xml:space="preserve">Bank term loan</t>
  </si>
  <si>
    <t xml:space="preserve">Viable fallback, but 50-90 bps dearer, floating rate, and carries tighter covenants and possible security over store property.</t>
  </si>
  <si>
    <t xml:space="preserve">Sale and leaseback</t>
  </si>
  <si>
    <t xml:space="preserve">Raises cash without new debt, but owning low-cost land is the source of DMart's price advantage. Ind AS 116 would also bring most of the obligation back as a lease liability.</t>
  </si>
  <si>
    <t xml:space="preserve">External commercial borrowing</t>
  </si>
  <si>
    <t xml:space="preserve">DMart earns only in rupees and has no natural hedge. Hedging back to rupees would erase the interest saving.</t>
  </si>
  <si>
    <t xml:space="preserve">Securitisation</t>
  </si>
  <si>
    <t xml:space="preserve">Not suitable. Trade receivables are Rs 149 Cr, under one day of sales, and there is no loan book. See Block E.</t>
  </si>
  <si>
    <t xml:space="preserve">KEY RISK AND MITIGATION</t>
  </si>
  <si>
    <t xml:space="preserve">Risk</t>
  </si>
  <si>
    <t xml:space="preserve">Description</t>
  </si>
  <si>
    <t xml:space="preserve">Mitigation</t>
  </si>
  <si>
    <t xml:space="preserve">Key risk - leverage trajectory</t>
  </si>
  <si>
    <t xml:space="preserve">Gearing more than doubled in FY2026 and the bond consumes about 40% of the headroom remaining before CRISIL's 0.20x downgrade trigger. Roughly Rs 1,467 Cr of capacity is left afterwards.</t>
  </si>
  <si>
    <t xml:space="preserve">Mitigation: size the issue to the actual annual gap rather than available capacity; set an internal ceiling of 0.15x gearing.</t>
  </si>
  <si>
    <t xml:space="preserve">Key risk - margin erosion</t>
  </si>
  <si>
    <t xml:space="preserve">EBITDA margin fell from 8.08% (FY24) to 7.54% (FY26); like-for-like growth halved from FY2023; revenue per sq ft declined for the first time.</t>
  </si>
  <si>
    <t xml:space="preserve">Mitigation: link further debt-funded expansion to store maturity metrics rather than to store count alone.</t>
  </si>
  <si>
    <t xml:space="preserve">Key risk - quick commerce</t>
  </si>
  <si>
    <t xml:space="preserve">DMart Ready has lost money for seven straight years, Rs 307 Cr in FY2026, and has retreated from 24 cities to 11.</t>
  </si>
  <si>
    <t xml:space="preserve">Mitigation: the retrenchment already caps the cash drain; monitor whether losses narrow on the smaller footprint.</t>
  </si>
  <si>
    <t xml:space="preserve">Key risk - refinancing</t>
  </si>
  <si>
    <t xml:space="preserve">Rs 965 Cr of short-term borrowings including a Rs 380 Cr overdraft, plus a rolling CP programme, sit against long-life assets.</t>
  </si>
  <si>
    <t xml:space="preserve">Mitigation: apply part of the bond proceeds to term out this stack, which is credit-positive on its own.</t>
  </si>
</sst>
</file>

<file path=xl/styles.xml><?xml version="1.0" encoding="utf-8"?>
<styleSheet xmlns="http://schemas.openxmlformats.org/spreadsheetml/2006/main">
  <numFmts count="12">
    <numFmt numFmtId="164" formatCode="General"/>
    <numFmt numFmtId="165" formatCode="#,##0.00;\(#,##0.00\);\-"/>
    <numFmt numFmtId="166" formatCode="#,##0.00"/>
    <numFmt numFmtId="167" formatCode="#,##0;\(#,##0\);\-"/>
    <numFmt numFmtId="168" formatCode="0.0%;\(0.0%\);\-"/>
    <numFmt numFmtId="169" formatCode="0.00\x"/>
    <numFmt numFmtId="170" formatCode="0%"/>
    <numFmt numFmtId="171" formatCode="0.00"/>
    <numFmt numFmtId="172" formatCode="0"/>
    <numFmt numFmtId="173" formatCode="0.00\x"/>
    <numFmt numFmtId="174" formatCode="0.0%;\(0.0%\);\-"/>
    <numFmt numFmtId="175" formatCode="#,##0"/>
  </numFmts>
  <fonts count="2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000000"/>
      <name val="Arial"/>
      <family val="0"/>
      <charset val="1"/>
    </font>
    <font>
      <b val="true"/>
      <sz val="10"/>
      <color rgb="FFFFFFFF"/>
      <name val="Arial"/>
      <family val="0"/>
      <charset val="1"/>
    </font>
    <font>
      <sz val="9"/>
      <color rgb="FF000000"/>
      <name val="Arial"/>
      <family val="0"/>
      <charset val="1"/>
    </font>
    <font>
      <b val="true"/>
      <sz val="10"/>
      <color rgb="FF1F3864"/>
      <name val="Arial"/>
      <family val="0"/>
      <charset val="1"/>
    </font>
    <font>
      <sz val="10"/>
      <color rgb="FF000000"/>
      <name val="Arial"/>
      <family val="0"/>
      <charset val="1"/>
    </font>
    <font>
      <sz val="10"/>
      <color rgb="FF0000FF"/>
      <name val="Arial"/>
      <family val="0"/>
      <charset val="1"/>
    </font>
    <font>
      <i val="true"/>
      <sz val="8"/>
      <color rgb="FF000000"/>
      <name val="Arial"/>
      <family val="0"/>
      <charset val="1"/>
    </font>
    <font>
      <b val="true"/>
      <sz val="10"/>
      <color rgb="FF000000"/>
      <name val="Arial"/>
      <family val="0"/>
      <charset val="1"/>
    </font>
    <font>
      <i val="true"/>
      <sz val="8"/>
      <name val="Arial"/>
      <family val="0"/>
      <charset val="1"/>
    </font>
    <font>
      <b val="true"/>
      <sz val="10"/>
      <color rgb="FF008000"/>
      <name val="Arial"/>
      <family val="0"/>
      <charset val="1"/>
    </font>
    <font>
      <sz val="9"/>
      <name val="Arial"/>
      <family val="0"/>
      <charset val="1"/>
    </font>
    <font>
      <b val="true"/>
      <sz val="11"/>
      <color rgb="FF0000FF"/>
      <name val="Arial"/>
      <family val="0"/>
      <charset val="1"/>
    </font>
    <font>
      <b val="true"/>
      <sz val="12"/>
      <color rgb="FF1F3864"/>
      <name val="Arial"/>
      <family val="0"/>
      <charset val="1"/>
    </font>
    <font>
      <b val="true"/>
      <sz val="13"/>
      <color rgb="FF000000"/>
      <name val="Arial"/>
      <family val="0"/>
      <charset val="1"/>
    </font>
    <font>
      <b val="true"/>
      <sz val="11"/>
      <color rgb="FF1F3864"/>
      <name val="Arial"/>
      <family val="0"/>
      <charset val="1"/>
    </font>
    <font>
      <b val="true"/>
      <sz val="12"/>
      <color rgb="FF000000"/>
      <name val="Arial"/>
      <family val="0"/>
      <charset val="1"/>
    </font>
    <font>
      <b val="true"/>
      <sz val="11"/>
      <color rgb="FF008000"/>
      <name val="Arial"/>
      <family val="0"/>
      <charset val="1"/>
    </font>
    <font>
      <b val="true"/>
      <sz val="11"/>
      <color rgb="FF000000"/>
      <name val="Arial"/>
      <family val="0"/>
      <charset val="1"/>
    </font>
    <font>
      <b val="true"/>
      <sz val="11"/>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1"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1"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1"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9" fontId="14" fillId="0" borderId="1" xfId="0" applyFont="true" applyBorder="true" applyAlignment="true" applyProtection="false">
      <alignment horizontal="right" vertical="bottom"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8" fontId="14" fillId="0" borderId="1" xfId="0" applyFont="true" applyBorder="true" applyAlignment="true" applyProtection="false">
      <alignment horizontal="right" vertical="bottom" textRotation="0" wrapText="false" indent="0" shrinkToFit="false"/>
      <protection locked="true" hidden="false"/>
    </xf>
    <xf numFmtId="165" fontId="14"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1" shrinkToFit="false"/>
      <protection locked="true" hidden="false"/>
    </xf>
    <xf numFmtId="170" fontId="10" fillId="0" borderId="1" xfId="0" applyFont="true" applyBorder="true" applyAlignment="true" applyProtection="false">
      <alignment horizontal="center" vertical="bottom" textRotation="0" wrapText="false" indent="0" shrinkToFit="false"/>
      <protection locked="true" hidden="false"/>
    </xf>
    <xf numFmtId="164" fontId="16" fillId="4" borderId="1" xfId="0" applyFont="true" applyBorder="true" applyAlignment="true" applyProtection="false">
      <alignment horizontal="center"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70" fontId="12"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general" vertical="bottom" textRotation="0" wrapText="false" indent="1"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71" fontId="18" fillId="3"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1" shrinkToFit="false"/>
      <protection locked="true" hidden="false"/>
    </xf>
    <xf numFmtId="172" fontId="20"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1" shrinkToFit="false"/>
      <protection locked="true" hidden="false"/>
    </xf>
    <xf numFmtId="164" fontId="9" fillId="0" borderId="1" xfId="0" applyFont="true" applyBorder="true" applyAlignment="true" applyProtection="false">
      <alignment horizontal="general" vertical="center" textRotation="0" wrapText="true" indent="1" shrinkToFit="false"/>
      <protection locked="true" hidden="false"/>
    </xf>
    <xf numFmtId="173" fontId="21"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74" fontId="21" fillId="0" borderId="1" xfId="0" applyFont="true" applyBorder="true" applyAlignment="true" applyProtection="false">
      <alignment horizontal="center" vertical="center" textRotation="0" wrapText="false" indent="0" shrinkToFit="false"/>
      <protection locked="true" hidden="false"/>
    </xf>
    <xf numFmtId="174" fontId="10" fillId="0" borderId="1" xfId="0" applyFont="true" applyBorder="true" applyAlignment="true" applyProtection="false">
      <alignment horizontal="center" vertical="center" textRotation="0" wrapText="false" indent="0" shrinkToFit="false"/>
      <protection locked="true" hidden="false"/>
    </xf>
    <xf numFmtId="174" fontId="16" fillId="0" borderId="1" xfId="0" applyFont="true" applyBorder="true" applyAlignment="true" applyProtection="false">
      <alignment horizontal="center" vertical="center" textRotation="0" wrapText="false" indent="0" shrinkToFit="false"/>
      <protection locked="true" hidden="false"/>
    </xf>
    <xf numFmtId="175" fontId="16" fillId="0" borderId="1" xfId="0" applyFont="true" applyBorder="true" applyAlignment="true" applyProtection="false">
      <alignment horizontal="center" vertical="center" textRotation="0" wrapText="false" indent="0" shrinkToFit="false"/>
      <protection locked="true" hidden="false"/>
    </xf>
    <xf numFmtId="175" fontId="10" fillId="0"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4" fontId="22" fillId="3" borderId="0" xfId="0" applyFont="true" applyBorder="true" applyAlignment="true" applyProtection="false">
      <alignment horizontal="general" vertical="center" textRotation="0" wrapText="false" indent="1" shrinkToFit="false"/>
      <protection locked="true" hidden="false"/>
    </xf>
    <xf numFmtId="164" fontId="9" fillId="0" borderId="0" xfId="0" applyFont="true" applyBorder="true" applyAlignment="true" applyProtection="false">
      <alignment horizontal="general" vertical="top" textRotation="0" wrapText="true" indent="1" shrinkToFit="false"/>
      <protection locked="true" hidden="false"/>
    </xf>
    <xf numFmtId="164" fontId="8" fillId="3" borderId="1" xfId="0" applyFont="true" applyBorder="true" applyAlignment="true" applyProtection="false">
      <alignment horizontal="general" vertical="center" textRotation="0" wrapText="true" indent="1" shrinkToFit="false"/>
      <protection locked="true" hidden="false"/>
    </xf>
    <xf numFmtId="164" fontId="20" fillId="0" borderId="1" xfId="0" applyFont="true" applyBorder="true" applyAlignment="true" applyProtection="false">
      <alignment horizontal="general" vertical="center" textRotation="0" wrapText="true" indent="1" shrinkToFit="false"/>
      <protection locked="true" hidden="false"/>
    </xf>
    <xf numFmtId="164" fontId="23" fillId="2"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sz val="11"/>
      </font>
      <fill>
        <patternFill>
          <bgColor rgb="FFE2EFDA"/>
        </patternFill>
      </fill>
    </dxf>
    <dxf>
      <font>
        <name val="Arial"/>
        <charset val="1"/>
        <family val="0"/>
        <b val="1"/>
        <sz val="11"/>
      </font>
      <fill>
        <patternFill>
          <bgColor rgb="FFFFF2CC"/>
        </patternFill>
      </fill>
    </dxf>
    <dxf>
      <font>
        <name val="Arial"/>
        <charset val="1"/>
        <family val="0"/>
        <b val="1"/>
        <sz val="11"/>
      </font>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4" min="2" style="1" width="15"/>
    <col collapsed="false" customWidth="true" hidden="false" outlineLevel="0" max="5" min="5" style="1" width="62"/>
  </cols>
  <sheetData>
    <row r="1" customFormat="false" ht="25.5" hidden="false" customHeight="true" outlineLevel="0" collapsed="false">
      <c r="A1" s="2" t="s">
        <v>0</v>
      </c>
      <c r="B1" s="2"/>
      <c r="C1" s="2"/>
      <c r="D1" s="2"/>
      <c r="E1" s="2"/>
    </row>
    <row r="2" customFormat="false" ht="15" hidden="false" customHeight="true" outlineLevel="0" collapsed="false">
      <c r="A2" s="3" t="s">
        <v>1</v>
      </c>
      <c r="B2" s="3"/>
      <c r="C2" s="3"/>
      <c r="D2" s="3"/>
      <c r="E2" s="3"/>
    </row>
    <row r="3" customFormat="false" ht="15" hidden="false" customHeight="true" outlineLevel="0" collapsed="false">
      <c r="A3" s="3" t="s">
        <v>2</v>
      </c>
      <c r="B3" s="3"/>
      <c r="C3" s="3"/>
      <c r="D3" s="3"/>
      <c r="E3" s="3"/>
    </row>
    <row r="5" customFormat="false" ht="15" hidden="false" customHeight="true" outlineLevel="0" collapsed="false">
      <c r="A5" s="4" t="s">
        <v>3</v>
      </c>
      <c r="B5" s="4"/>
      <c r="C5" s="4"/>
      <c r="D5" s="4"/>
      <c r="E5" s="4"/>
    </row>
    <row r="6" customFormat="false" ht="15" hidden="false" customHeight="true" outlineLevel="0" collapsed="false">
      <c r="A6" s="5" t="s">
        <v>4</v>
      </c>
      <c r="B6" s="5"/>
      <c r="C6" s="5"/>
      <c r="D6" s="5"/>
      <c r="E6" s="5"/>
    </row>
    <row r="7" customFormat="false" ht="15" hidden="false" customHeight="true" outlineLevel="0" collapsed="false">
      <c r="A7" s="5" t="s">
        <v>5</v>
      </c>
      <c r="B7" s="5"/>
      <c r="C7" s="5"/>
      <c r="D7" s="5"/>
      <c r="E7" s="5"/>
    </row>
    <row r="8" customFormat="false" ht="15" hidden="false" customHeight="true" outlineLevel="0" collapsed="false">
      <c r="A8" s="5" t="s">
        <v>6</v>
      </c>
      <c r="B8" s="5"/>
      <c r="C8" s="5"/>
      <c r="D8" s="5"/>
      <c r="E8" s="5"/>
    </row>
    <row r="9" customFormat="false" ht="15" hidden="false" customHeight="true" outlineLevel="0" collapsed="false">
      <c r="A9" s="5" t="s">
        <v>7</v>
      </c>
      <c r="B9" s="5"/>
      <c r="C9" s="5"/>
      <c r="D9" s="5"/>
      <c r="E9" s="5"/>
    </row>
    <row r="10" customFormat="false" ht="15" hidden="false" customHeight="true" outlineLevel="0" collapsed="false">
      <c r="A10" s="5" t="s">
        <v>8</v>
      </c>
      <c r="B10" s="5"/>
      <c r="C10" s="5"/>
      <c r="D10" s="5"/>
      <c r="E10" s="5"/>
    </row>
    <row r="11" customFormat="false" ht="15" hidden="false" customHeight="true" outlineLevel="0" collapsed="false">
      <c r="A11" s="5" t="s">
        <v>9</v>
      </c>
      <c r="B11" s="5"/>
      <c r="C11" s="5"/>
      <c r="D11" s="5"/>
      <c r="E11" s="5"/>
    </row>
    <row r="13" customFormat="false" ht="19.5" hidden="false" customHeight="true" outlineLevel="0" collapsed="false">
      <c r="A13" s="6" t="s">
        <v>10</v>
      </c>
      <c r="B13" s="7" t="s">
        <v>11</v>
      </c>
      <c r="C13" s="7" t="s">
        <v>12</v>
      </c>
      <c r="D13" s="7" t="s">
        <v>13</v>
      </c>
      <c r="E13" s="7" t="s">
        <v>14</v>
      </c>
    </row>
    <row r="14" customFormat="false" ht="15" hidden="false" customHeight="true" outlineLevel="0" collapsed="false">
      <c r="A14" s="8" t="s">
        <v>15</v>
      </c>
      <c r="B14" s="9"/>
      <c r="C14" s="9"/>
      <c r="D14" s="9"/>
      <c r="E14" s="9"/>
    </row>
    <row r="15" customFormat="false" ht="15" hidden="false" customHeight="true" outlineLevel="0" collapsed="false">
      <c r="A15" s="10" t="s">
        <v>16</v>
      </c>
      <c r="B15" s="11" t="n">
        <v>50788.83</v>
      </c>
      <c r="C15" s="11" t="n">
        <v>59358.05</v>
      </c>
      <c r="D15" s="11" t="n">
        <v>68820.74</v>
      </c>
      <c r="E15" s="12" t="s">
        <v>17</v>
      </c>
    </row>
    <row r="16" customFormat="false" ht="15" hidden="false" customHeight="true" outlineLevel="0" collapsed="false">
      <c r="A16" s="10" t="s">
        <v>18</v>
      </c>
      <c r="B16" s="11" t="n">
        <v>146.45</v>
      </c>
      <c r="C16" s="11" t="n">
        <v>124.31</v>
      </c>
      <c r="D16" s="11" t="n">
        <v>74.1</v>
      </c>
      <c r="E16" s="12" t="s">
        <v>17</v>
      </c>
    </row>
    <row r="17" customFormat="false" ht="15" hidden="false" customHeight="true" outlineLevel="0" collapsed="false">
      <c r="A17" s="13" t="s">
        <v>19</v>
      </c>
      <c r="B17" s="14" t="n">
        <f aca="false">B15+B16</f>
        <v>50935.28</v>
      </c>
      <c r="C17" s="14" t="n">
        <f aca="false">C15+C16</f>
        <v>59482.36</v>
      </c>
      <c r="D17" s="14" t="n">
        <f aca="false">D15+D16</f>
        <v>68894.84</v>
      </c>
      <c r="E17" s="12" t="s">
        <v>20</v>
      </c>
    </row>
    <row r="18" customFormat="false" ht="15" hidden="false" customHeight="true" outlineLevel="0" collapsed="false">
      <c r="A18" s="10" t="s">
        <v>21</v>
      </c>
      <c r="B18" s="11" t="n">
        <v>43958.31</v>
      </c>
      <c r="C18" s="11" t="n">
        <v>51668.76</v>
      </c>
      <c r="D18" s="11" t="n">
        <v>59315.99</v>
      </c>
      <c r="E18" s="12" t="s">
        <v>17</v>
      </c>
    </row>
    <row r="19" customFormat="false" ht="15" hidden="false" customHeight="true" outlineLevel="0" collapsed="false">
      <c r="A19" s="10" t="s">
        <v>22</v>
      </c>
      <c r="B19" s="11" t="n">
        <v>-683.77</v>
      </c>
      <c r="C19" s="11" t="n">
        <v>-1117.06</v>
      </c>
      <c r="D19" s="11" t="n">
        <v>-856.26</v>
      </c>
      <c r="E19" s="12" t="s">
        <v>23</v>
      </c>
    </row>
    <row r="20" customFormat="false" ht="15" hidden="false" customHeight="true" outlineLevel="0" collapsed="false">
      <c r="A20" s="10" t="s">
        <v>24</v>
      </c>
      <c r="B20" s="11" t="n">
        <v>906.12</v>
      </c>
      <c r="C20" s="11" t="n">
        <v>1165.9</v>
      </c>
      <c r="D20" s="11" t="n">
        <v>1541.48</v>
      </c>
      <c r="E20" s="12" t="s">
        <v>17</v>
      </c>
    </row>
    <row r="21" customFormat="false" ht="15" hidden="false" customHeight="true" outlineLevel="0" collapsed="false">
      <c r="A21" s="10" t="s">
        <v>25</v>
      </c>
      <c r="B21" s="11" t="n">
        <v>2504.4</v>
      </c>
      <c r="C21" s="11" t="n">
        <v>3153.12</v>
      </c>
      <c r="D21" s="11" t="n">
        <v>3632.94</v>
      </c>
      <c r="E21" s="12" t="s">
        <v>17</v>
      </c>
    </row>
    <row r="22" customFormat="false" ht="18.75" hidden="false" customHeight="true" outlineLevel="0" collapsed="false">
      <c r="A22" s="13" t="s">
        <v>26</v>
      </c>
      <c r="B22" s="14" t="n">
        <f aca="false">B15-B18-B19-B20-B21</f>
        <v>4103.77</v>
      </c>
      <c r="C22" s="14" t="n">
        <f aca="false">C15-C18-C19-C20-C21</f>
        <v>4487.33</v>
      </c>
      <c r="D22" s="14" t="n">
        <f aca="false">D15-D18-D19-D20-D21</f>
        <v>5186.59000000001</v>
      </c>
      <c r="E22" s="12" t="s">
        <v>27</v>
      </c>
    </row>
    <row r="23" customFormat="false" ht="15" hidden="false" customHeight="true" outlineLevel="0" collapsed="false">
      <c r="A23" s="10" t="s">
        <v>28</v>
      </c>
      <c r="B23" s="11" t="n">
        <v>730.76</v>
      </c>
      <c r="C23" s="11" t="n">
        <v>869.52</v>
      </c>
      <c r="D23" s="11" t="n">
        <v>1037.02</v>
      </c>
      <c r="E23" s="12" t="s">
        <v>17</v>
      </c>
    </row>
    <row r="24" customFormat="false" ht="15" hidden="false" customHeight="true" outlineLevel="0" collapsed="false">
      <c r="A24" s="13" t="s">
        <v>29</v>
      </c>
      <c r="B24" s="14" t="n">
        <f aca="false">B22-B23</f>
        <v>3373.01</v>
      </c>
      <c r="C24" s="14" t="n">
        <f aca="false">C22-C23</f>
        <v>3617.81</v>
      </c>
      <c r="D24" s="14" t="n">
        <f aca="false">D22-D23</f>
        <v>4149.57000000001</v>
      </c>
      <c r="E24" s="12" t="s">
        <v>30</v>
      </c>
    </row>
    <row r="25" customFormat="false" ht="15" hidden="false" customHeight="true" outlineLevel="0" collapsed="false">
      <c r="A25" s="10" t="s">
        <v>31</v>
      </c>
      <c r="B25" s="11" t="n">
        <v>58.13</v>
      </c>
      <c r="C25" s="11" t="n">
        <v>69.45</v>
      </c>
      <c r="D25" s="11" t="n">
        <v>142.05</v>
      </c>
      <c r="E25" s="12" t="s">
        <v>32</v>
      </c>
    </row>
    <row r="26" customFormat="false" ht="15" hidden="false" customHeight="true" outlineLevel="0" collapsed="false">
      <c r="A26" s="13" t="s">
        <v>33</v>
      </c>
      <c r="B26" s="14" t="n">
        <f aca="false">B24+B16-B25</f>
        <v>3461.33</v>
      </c>
      <c r="C26" s="14" t="n">
        <f aca="false">C24+C16-C25</f>
        <v>3672.67</v>
      </c>
      <c r="D26" s="14" t="n">
        <f aca="false">D24+D16-D25</f>
        <v>4081.62000000001</v>
      </c>
      <c r="E26" s="12" t="s">
        <v>34</v>
      </c>
    </row>
    <row r="27" customFormat="false" ht="15" hidden="false" customHeight="true" outlineLevel="0" collapsed="false">
      <c r="A27" s="10" t="s">
        <v>35</v>
      </c>
      <c r="B27" s="11" t="n">
        <v>925.72</v>
      </c>
      <c r="C27" s="11" t="n">
        <v>965.22</v>
      </c>
      <c r="D27" s="11" t="n">
        <v>1111.76</v>
      </c>
      <c r="E27" s="12" t="s">
        <v>17</v>
      </c>
    </row>
    <row r="28" customFormat="false" ht="15" hidden="false" customHeight="true" outlineLevel="0" collapsed="false">
      <c r="A28" s="13" t="s">
        <v>36</v>
      </c>
      <c r="B28" s="14" t="n">
        <f aca="false">B26-B27</f>
        <v>2535.61</v>
      </c>
      <c r="C28" s="14" t="n">
        <f aca="false">C26-C27</f>
        <v>2707.45</v>
      </c>
      <c r="D28" s="14" t="n">
        <f aca="false">D26-D27</f>
        <v>2969.86000000001</v>
      </c>
      <c r="E28" s="12" t="s">
        <v>37</v>
      </c>
    </row>
    <row r="29" customFormat="false" ht="15" hidden="false" customHeight="true" outlineLevel="0" collapsed="false">
      <c r="A29" s="10" t="s">
        <v>38</v>
      </c>
      <c r="B29" s="11" t="n">
        <v>2536.17</v>
      </c>
      <c r="C29" s="11" t="n">
        <v>2708.02</v>
      </c>
      <c r="D29" s="11" t="n">
        <v>2970.49</v>
      </c>
      <c r="E29" s="12" t="s">
        <v>39</v>
      </c>
    </row>
    <row r="30" customFormat="false" ht="15" hidden="false" customHeight="true" outlineLevel="0" collapsed="false">
      <c r="A30" s="10" t="s">
        <v>40</v>
      </c>
      <c r="B30" s="15" t="n">
        <v>38.99</v>
      </c>
      <c r="C30" s="15" t="n">
        <v>41.61</v>
      </c>
      <c r="D30" s="15" t="n">
        <v>45.65</v>
      </c>
      <c r="E30" s="12" t="s">
        <v>17</v>
      </c>
    </row>
    <row r="32" customFormat="false" ht="15" hidden="false" customHeight="true" outlineLevel="0" collapsed="false">
      <c r="A32" s="8" t="s">
        <v>41</v>
      </c>
      <c r="B32" s="9"/>
      <c r="C32" s="9"/>
      <c r="D32" s="9"/>
      <c r="E32" s="9"/>
    </row>
    <row r="33" customFormat="false" ht="15" hidden="false" customHeight="true" outlineLevel="0" collapsed="false">
      <c r="A33" s="10" t="s">
        <v>42</v>
      </c>
      <c r="B33" s="11" t="n">
        <v>650.73</v>
      </c>
      <c r="C33" s="11" t="n">
        <v>650.73</v>
      </c>
      <c r="D33" s="11" t="n">
        <v>651.96</v>
      </c>
      <c r="E33" s="12" t="s">
        <v>43</v>
      </c>
    </row>
    <row r="34" customFormat="false" ht="15" hidden="false" customHeight="true" outlineLevel="0" collapsed="false">
      <c r="A34" s="10" t="s">
        <v>44</v>
      </c>
      <c r="B34" s="11" t="n">
        <v>18047.09</v>
      </c>
      <c r="C34" s="11" t="n">
        <v>20777.02</v>
      </c>
      <c r="D34" s="11" t="n">
        <v>23812.08</v>
      </c>
      <c r="E34" s="12" t="s">
        <v>43</v>
      </c>
    </row>
    <row r="35" customFormat="false" ht="15" hidden="false" customHeight="true" outlineLevel="0" collapsed="false">
      <c r="A35" s="13" t="s">
        <v>45</v>
      </c>
      <c r="B35" s="14" t="n">
        <f aca="false">B33+B34</f>
        <v>18697.82</v>
      </c>
      <c r="C35" s="14" t="n">
        <f aca="false">C33+C34</f>
        <v>21427.75</v>
      </c>
      <c r="D35" s="14" t="n">
        <f aca="false">D33+D34</f>
        <v>24464.04</v>
      </c>
      <c r="E35" s="12" t="s">
        <v>46</v>
      </c>
    </row>
    <row r="36" customFormat="false" ht="15" hidden="false" customHeight="true" outlineLevel="0" collapsed="false">
      <c r="A36" s="10" t="s">
        <v>47</v>
      </c>
      <c r="B36" s="11" t="n">
        <v>-0.48</v>
      </c>
      <c r="C36" s="11" t="n">
        <v>-1.05</v>
      </c>
      <c r="D36" s="11" t="n">
        <v>-1.68</v>
      </c>
      <c r="E36" s="12" t="s">
        <v>43</v>
      </c>
    </row>
    <row r="37" customFormat="false" ht="15" hidden="false" customHeight="true" outlineLevel="0" collapsed="false">
      <c r="A37" s="13" t="s">
        <v>48</v>
      </c>
      <c r="B37" s="14" t="n">
        <f aca="false">B35+B36</f>
        <v>18697.34</v>
      </c>
      <c r="C37" s="14" t="n">
        <f aca="false">C35+C36</f>
        <v>21426.7</v>
      </c>
      <c r="D37" s="14" t="n">
        <f aca="false">D35+D36</f>
        <v>24462.36</v>
      </c>
      <c r="E37" s="12" t="s">
        <v>49</v>
      </c>
    </row>
    <row r="38" customFormat="false" ht="18.75" hidden="false" customHeight="true" outlineLevel="0" collapsed="false">
      <c r="A38" s="10" t="s">
        <v>50</v>
      </c>
      <c r="B38" s="11" t="n">
        <v>0</v>
      </c>
      <c r="C38" s="11" t="n">
        <v>0</v>
      </c>
      <c r="D38" s="11" t="n">
        <v>965.27</v>
      </c>
      <c r="E38" s="12" t="s">
        <v>51</v>
      </c>
    </row>
    <row r="39" customFormat="false" ht="15" hidden="false" customHeight="true" outlineLevel="0" collapsed="false">
      <c r="A39" s="10" t="s">
        <v>52</v>
      </c>
      <c r="B39" s="11" t="n">
        <v>399.24</v>
      </c>
      <c r="C39" s="11" t="n">
        <v>555.79</v>
      </c>
      <c r="D39" s="11" t="n">
        <v>1142.54</v>
      </c>
      <c r="E39" s="12" t="s">
        <v>43</v>
      </c>
    </row>
    <row r="40" customFormat="false" ht="15" hidden="false" customHeight="true" outlineLevel="0" collapsed="false">
      <c r="A40" s="10" t="s">
        <v>53</v>
      </c>
      <c r="B40" s="11" t="n">
        <v>192.92</v>
      </c>
      <c r="C40" s="11" t="n">
        <v>263.83</v>
      </c>
      <c r="D40" s="11" t="n">
        <v>317.18</v>
      </c>
      <c r="E40" s="12" t="s">
        <v>43</v>
      </c>
    </row>
    <row r="41" customFormat="false" ht="15" hidden="false" customHeight="true" outlineLevel="0" collapsed="false">
      <c r="A41" s="13" t="s">
        <v>54</v>
      </c>
      <c r="B41" s="14" t="n">
        <f aca="false">B39+B40</f>
        <v>592.16</v>
      </c>
      <c r="C41" s="14" t="n">
        <f aca="false">C39+C40</f>
        <v>819.62</v>
      </c>
      <c r="D41" s="14" t="n">
        <f aca="false">D39+D40</f>
        <v>1459.72</v>
      </c>
      <c r="E41" s="12" t="s">
        <v>55</v>
      </c>
    </row>
    <row r="42" customFormat="false" ht="15" hidden="false" customHeight="true" outlineLevel="0" collapsed="false">
      <c r="A42" s="13" t="s">
        <v>56</v>
      </c>
      <c r="B42" s="14" t="n">
        <f aca="false">B38+B41</f>
        <v>592.16</v>
      </c>
      <c r="C42" s="14" t="n">
        <f aca="false">C38+C41</f>
        <v>819.62</v>
      </c>
      <c r="D42" s="14" t="n">
        <f aca="false">D38+D41</f>
        <v>2424.99</v>
      </c>
      <c r="E42" s="12" t="s">
        <v>57</v>
      </c>
    </row>
    <row r="43" customFormat="false" ht="15" hidden="false" customHeight="true" outlineLevel="0" collapsed="false">
      <c r="A43" s="10" t="s">
        <v>58</v>
      </c>
      <c r="B43" s="11" t="n">
        <v>337.12</v>
      </c>
      <c r="C43" s="11" t="n">
        <v>355.48</v>
      </c>
      <c r="D43" s="11" t="n">
        <v>283.71</v>
      </c>
      <c r="E43" s="12" t="s">
        <v>43</v>
      </c>
    </row>
    <row r="44" customFormat="false" ht="15" hidden="false" customHeight="true" outlineLevel="0" collapsed="false">
      <c r="A44" s="10" t="s">
        <v>59</v>
      </c>
      <c r="B44" s="11" t="n">
        <v>301.06</v>
      </c>
      <c r="C44" s="11" t="n">
        <v>2.72</v>
      </c>
      <c r="D44" s="11" t="n">
        <v>20.07</v>
      </c>
      <c r="E44" s="12" t="s">
        <v>43</v>
      </c>
    </row>
    <row r="45" customFormat="false" ht="15" hidden="false" customHeight="true" outlineLevel="0" collapsed="false">
      <c r="A45" s="10" t="s">
        <v>60</v>
      </c>
      <c r="B45" s="11" t="n">
        <v>106.66</v>
      </c>
      <c r="C45" s="11" t="n">
        <v>1.25</v>
      </c>
      <c r="D45" s="11" t="n">
        <v>2</v>
      </c>
      <c r="E45" s="12" t="s">
        <v>43</v>
      </c>
    </row>
    <row r="46" customFormat="false" ht="15" hidden="false" customHeight="true" outlineLevel="0" collapsed="false">
      <c r="A46" s="13" t="s">
        <v>61</v>
      </c>
      <c r="B46" s="14" t="n">
        <f aca="false">SUM(B43:B45)</f>
        <v>744.84</v>
      </c>
      <c r="C46" s="14" t="n">
        <f aca="false">SUM(C43:C45)</f>
        <v>359.45</v>
      </c>
      <c r="D46" s="14" t="n">
        <f aca="false">SUM(D43:D45)</f>
        <v>305.78</v>
      </c>
      <c r="E46" s="12" t="s">
        <v>62</v>
      </c>
    </row>
    <row r="47" customFormat="false" ht="15" hidden="false" customHeight="true" outlineLevel="0" collapsed="false">
      <c r="A47" s="13" t="s">
        <v>63</v>
      </c>
      <c r="B47" s="14" t="n">
        <f aca="false">B42-B46</f>
        <v>-152.68</v>
      </c>
      <c r="C47" s="14" t="n">
        <f aca="false">C42-C46</f>
        <v>460.17</v>
      </c>
      <c r="D47" s="14" t="n">
        <f aca="false">D42-D46</f>
        <v>2119.21</v>
      </c>
      <c r="E47" s="12" t="s">
        <v>64</v>
      </c>
    </row>
    <row r="48" customFormat="false" ht="15" hidden="false" customHeight="true" outlineLevel="0" collapsed="false">
      <c r="A48" s="10" t="s">
        <v>65</v>
      </c>
      <c r="B48" s="11" t="n">
        <v>21177.2</v>
      </c>
      <c r="C48" s="11" t="n">
        <v>24320.29</v>
      </c>
      <c r="D48" s="11" t="n">
        <v>29524.26</v>
      </c>
      <c r="E48" s="12" t="s">
        <v>43</v>
      </c>
    </row>
    <row r="49" customFormat="false" ht="15" hidden="false" customHeight="true" outlineLevel="0" collapsed="false">
      <c r="A49" s="13" t="s">
        <v>66</v>
      </c>
      <c r="B49" s="14" t="n">
        <f aca="false">B37+B42</f>
        <v>19289.5</v>
      </c>
      <c r="C49" s="14" t="n">
        <f aca="false">C37+C42</f>
        <v>22246.32</v>
      </c>
      <c r="D49" s="14" t="n">
        <f aca="false">D37+D42</f>
        <v>26887.35</v>
      </c>
      <c r="E49" s="12" t="s">
        <v>67</v>
      </c>
    </row>
    <row r="50" customFormat="false" ht="15" hidden="false" customHeight="true" outlineLevel="0" collapsed="false">
      <c r="A50" s="10" t="s">
        <v>68</v>
      </c>
      <c r="B50" s="11" t="n">
        <v>3927.31</v>
      </c>
      <c r="C50" s="11" t="n">
        <v>5044.37</v>
      </c>
      <c r="D50" s="11" t="n">
        <v>5900.64</v>
      </c>
      <c r="E50" s="12" t="s">
        <v>43</v>
      </c>
    </row>
    <row r="52" customFormat="false" ht="15" hidden="false" customHeight="true" outlineLevel="0" collapsed="false">
      <c r="A52" s="8" t="s">
        <v>69</v>
      </c>
      <c r="B52" s="9"/>
      <c r="C52" s="9"/>
      <c r="D52" s="9"/>
      <c r="E52" s="9"/>
    </row>
    <row r="53" customFormat="false" ht="15" hidden="false" customHeight="true" outlineLevel="0" collapsed="false">
      <c r="A53" s="10" t="s">
        <v>70</v>
      </c>
      <c r="B53" s="11" t="n">
        <v>2745.84</v>
      </c>
      <c r="C53" s="11" t="n">
        <v>2462.97</v>
      </c>
      <c r="D53" s="11" t="n">
        <v>3466.74</v>
      </c>
      <c r="E53" s="12" t="s">
        <v>71</v>
      </c>
    </row>
    <row r="54" customFormat="false" ht="18.75" hidden="false" customHeight="true" outlineLevel="0" collapsed="false">
      <c r="A54" s="10" t="s">
        <v>72</v>
      </c>
      <c r="B54" s="11" t="n">
        <v>2731.25</v>
      </c>
      <c r="C54" s="11" t="n">
        <v>3423.04</v>
      </c>
      <c r="D54" s="11" t="n">
        <v>4113.35</v>
      </c>
      <c r="E54" s="16" t="s">
        <v>73</v>
      </c>
    </row>
    <row r="55" customFormat="false" ht="15" hidden="false" customHeight="true" outlineLevel="0" collapsed="false">
      <c r="A55" s="13" t="s">
        <v>74</v>
      </c>
      <c r="B55" s="14" t="n">
        <f aca="false">B53-B54</f>
        <v>14.5900000000001</v>
      </c>
      <c r="C55" s="14" t="n">
        <f aca="false">C53-C54</f>
        <v>-960.07</v>
      </c>
      <c r="D55" s="14" t="n">
        <f aca="false">D53-D54</f>
        <v>-646.610000000001</v>
      </c>
      <c r="E55" s="12" t="s">
        <v>75</v>
      </c>
    </row>
    <row r="57" customFormat="false" ht="15" hidden="false" customHeight="true" outlineLevel="0" collapsed="false">
      <c r="A57" s="8" t="s">
        <v>76</v>
      </c>
      <c r="B57" s="9"/>
      <c r="C57" s="9"/>
      <c r="D57" s="9"/>
      <c r="E57" s="9"/>
    </row>
    <row r="58" customFormat="false" ht="15" hidden="false" customHeight="true" outlineLevel="0" collapsed="false">
      <c r="A58" s="10" t="s">
        <v>77</v>
      </c>
      <c r="B58" s="17" t="n">
        <v>365</v>
      </c>
      <c r="C58" s="17" t="n">
        <v>415</v>
      </c>
      <c r="D58" s="17" t="n">
        <v>500</v>
      </c>
      <c r="E58" s="12" t="s">
        <v>78</v>
      </c>
    </row>
    <row r="59" customFormat="false" ht="15" hidden="false" customHeight="true" outlineLevel="0" collapsed="false">
      <c r="A59" s="10" t="s">
        <v>79</v>
      </c>
      <c r="B59" s="15" t="n">
        <v>15.15</v>
      </c>
      <c r="C59" s="15" t="n">
        <v>17.2</v>
      </c>
      <c r="D59" s="15" t="n">
        <v>20.58</v>
      </c>
      <c r="E59" s="12" t="s">
        <v>78</v>
      </c>
    </row>
    <row r="60" customFormat="false" ht="15" hidden="false" customHeight="true" outlineLevel="0" collapsed="false">
      <c r="A60" s="10" t="s">
        <v>80</v>
      </c>
      <c r="B60" s="17" t="n">
        <v>32941</v>
      </c>
      <c r="C60" s="17" t="n">
        <v>33896</v>
      </c>
      <c r="D60" s="17" t="n">
        <v>33422</v>
      </c>
      <c r="E60" s="12" t="s">
        <v>81</v>
      </c>
    </row>
    <row r="61" customFormat="false" ht="18.75" hidden="false" customHeight="true" outlineLevel="0" collapsed="false">
      <c r="A61" s="10" t="s">
        <v>82</v>
      </c>
      <c r="B61" s="18" t="s">
        <v>83</v>
      </c>
      <c r="C61" s="18" t="s">
        <v>83</v>
      </c>
      <c r="D61" s="18" t="s">
        <v>83</v>
      </c>
      <c r="E61" s="12" t="s">
        <v>84</v>
      </c>
    </row>
    <row r="62" customFormat="false" ht="18.75" hidden="false" customHeight="true" outlineLevel="0" collapsed="false">
      <c r="A62" s="10" t="s">
        <v>85</v>
      </c>
      <c r="B62" s="19" t="n">
        <v>0.7451</v>
      </c>
      <c r="C62" s="19" t="n">
        <v>0.7451</v>
      </c>
      <c r="D62" s="19" t="n">
        <v>0.7451</v>
      </c>
      <c r="E62" s="12" t="s">
        <v>86</v>
      </c>
    </row>
    <row r="64" customFormat="false" ht="15" hidden="false" customHeight="true" outlineLevel="0" collapsed="false">
      <c r="A64" s="4" t="s">
        <v>87</v>
      </c>
      <c r="B64" s="4"/>
      <c r="C64" s="4"/>
      <c r="D64" s="4"/>
      <c r="E64" s="4"/>
    </row>
    <row r="65" customFormat="false" ht="15" hidden="false" customHeight="true" outlineLevel="0" collapsed="false">
      <c r="A65" s="10" t="s">
        <v>88</v>
      </c>
      <c r="B65" s="11" t="n">
        <v>42839.56</v>
      </c>
      <c r="C65" s="20"/>
      <c r="D65" s="20"/>
      <c r="E65" s="12" t="s">
        <v>89</v>
      </c>
    </row>
    <row r="66" customFormat="false" ht="15" hidden="false" customHeight="true" outlineLevel="0" collapsed="false">
      <c r="A66" s="10" t="s">
        <v>90</v>
      </c>
      <c r="B66" s="11" t="n">
        <v>2378.34</v>
      </c>
      <c r="C66" s="20"/>
      <c r="D66" s="20"/>
      <c r="E66" s="12" t="s">
        <v>89</v>
      </c>
    </row>
    <row r="67" customFormat="false" ht="15" hidden="false" customHeight="true" outlineLevel="0" collapsed="false">
      <c r="A67" s="10" t="s">
        <v>91</v>
      </c>
      <c r="B67" s="11" t="n">
        <v>16078.78</v>
      </c>
      <c r="C67" s="20"/>
      <c r="D67" s="20"/>
      <c r="E67" s="12" t="s">
        <v>92</v>
      </c>
    </row>
    <row r="68" customFormat="false" ht="15" hidden="false" customHeight="true" outlineLevel="0" collapsed="false">
      <c r="A68" s="10" t="s">
        <v>93</v>
      </c>
      <c r="B68" s="11" t="n">
        <v>16078.7</v>
      </c>
      <c r="C68" s="20"/>
      <c r="D68" s="20"/>
      <c r="E68" s="12" t="s">
        <v>92</v>
      </c>
    </row>
    <row r="69" customFormat="false" ht="15" hidden="false" customHeight="true" outlineLevel="0" collapsed="false">
      <c r="A69" s="10" t="s">
        <v>94</v>
      </c>
      <c r="B69" s="11" t="n">
        <v>642.98</v>
      </c>
      <c r="C69" s="20"/>
      <c r="D69" s="20"/>
      <c r="E69" s="12" t="s">
        <v>95</v>
      </c>
    </row>
    <row r="70" customFormat="false" ht="15" hidden="false" customHeight="true" outlineLevel="0" collapsed="false">
      <c r="A70" s="13" t="s">
        <v>96</v>
      </c>
      <c r="B70" s="14" t="n">
        <f aca="false">B67+B69</f>
        <v>16721.76</v>
      </c>
      <c r="C70" s="20"/>
      <c r="D70" s="20"/>
      <c r="E70" s="21" t="s">
        <v>97</v>
      </c>
    </row>
    <row r="72" customFormat="false" ht="15" hidden="false" customHeight="true" outlineLevel="0" collapsed="false">
      <c r="A72" s="22" t="s">
        <v>98</v>
      </c>
    </row>
    <row r="73" customFormat="false" ht="15" hidden="false" customHeight="true" outlineLevel="0" collapsed="false">
      <c r="A73" s="5" t="s">
        <v>99</v>
      </c>
      <c r="B73" s="5"/>
      <c r="C73" s="5"/>
      <c r="D73" s="5"/>
      <c r="E73" s="5"/>
    </row>
    <row r="74" customFormat="false" ht="33.75" hidden="false" customHeight="true" outlineLevel="0" collapsed="false">
      <c r="A74" s="23" t="s">
        <v>100</v>
      </c>
      <c r="B74" s="23"/>
      <c r="C74" s="23"/>
      <c r="D74" s="23"/>
      <c r="E74" s="23"/>
    </row>
  </sheetData>
  <mergeCells count="13">
    <mergeCell ref="A1:E1"/>
    <mergeCell ref="A2:E2"/>
    <mergeCell ref="A3:E3"/>
    <mergeCell ref="A5:E5"/>
    <mergeCell ref="A6:E6"/>
    <mergeCell ref="A7:E7"/>
    <mergeCell ref="A8:E8"/>
    <mergeCell ref="A9:E9"/>
    <mergeCell ref="A10:E10"/>
    <mergeCell ref="A11:E11"/>
    <mergeCell ref="A64:E64"/>
    <mergeCell ref="A73:E73"/>
    <mergeCell ref="A74:E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5" min="3" style="1" width="13"/>
    <col collapsed="false" customWidth="true" hidden="false" outlineLevel="0" max="6" min="6" style="1" width="68"/>
  </cols>
  <sheetData>
    <row r="1" customFormat="false" ht="25.5" hidden="false" customHeight="true" outlineLevel="0" collapsed="false">
      <c r="A1" s="2" t="s">
        <v>101</v>
      </c>
      <c r="B1" s="2"/>
      <c r="C1" s="2"/>
      <c r="D1" s="2"/>
      <c r="E1" s="2"/>
      <c r="F1" s="2"/>
    </row>
    <row r="2" customFormat="false" ht="15" hidden="false" customHeight="true" outlineLevel="0" collapsed="false">
      <c r="A2" s="3" t="s">
        <v>102</v>
      </c>
      <c r="B2" s="3"/>
      <c r="C2" s="3"/>
      <c r="D2" s="3"/>
      <c r="E2" s="3"/>
      <c r="F2" s="3"/>
    </row>
    <row r="4" customFormat="false" ht="19.5" hidden="false" customHeight="true" outlineLevel="0" collapsed="false">
      <c r="A4" s="6" t="s">
        <v>103</v>
      </c>
      <c r="B4" s="6" t="s">
        <v>104</v>
      </c>
      <c r="C4" s="7" t="s">
        <v>11</v>
      </c>
      <c r="D4" s="7" t="s">
        <v>12</v>
      </c>
      <c r="E4" s="7" t="s">
        <v>13</v>
      </c>
      <c r="F4" s="6" t="s">
        <v>105</v>
      </c>
    </row>
    <row r="5" customFormat="false" ht="15" hidden="false" customHeight="true" outlineLevel="0" collapsed="false">
      <c r="A5" s="8" t="s">
        <v>106</v>
      </c>
      <c r="B5" s="9"/>
      <c r="C5" s="9"/>
      <c r="D5" s="9"/>
      <c r="E5" s="9"/>
      <c r="F5" s="9"/>
    </row>
    <row r="6" customFormat="false" ht="33.75" hidden="false" customHeight="true" outlineLevel="0" collapsed="false">
      <c r="A6" s="24" t="s">
        <v>107</v>
      </c>
      <c r="B6" s="25" t="s">
        <v>108</v>
      </c>
      <c r="C6" s="26" t="n">
        <f aca="false">'1. Company Snapshot'!B42/'1. Company Snapshot'!B37</f>
        <v>0.031670815206869</v>
      </c>
      <c r="D6" s="26" t="n">
        <f aca="false">'1. Company Snapshot'!C42/'1. Company Snapshot'!C37</f>
        <v>0.0382522740319321</v>
      </c>
      <c r="E6" s="26" t="n">
        <f aca="false">'1. Company Snapshot'!D42/'1. Company Snapshot'!D37</f>
        <v>0.0991314819992838</v>
      </c>
      <c r="F6" s="27" t="s">
        <v>109</v>
      </c>
    </row>
    <row r="7" customFormat="false" ht="33.75" hidden="false" customHeight="true" outlineLevel="0" collapsed="false">
      <c r="A7" s="24" t="s">
        <v>110</v>
      </c>
      <c r="B7" s="25" t="s">
        <v>111</v>
      </c>
      <c r="C7" s="26" t="n">
        <f aca="false">'1. Company Snapshot'!B38/'1. Company Snapshot'!B37</f>
        <v>0</v>
      </c>
      <c r="D7" s="26" t="n">
        <f aca="false">'1. Company Snapshot'!C38/'1. Company Snapshot'!C37</f>
        <v>0</v>
      </c>
      <c r="E7" s="26" t="n">
        <f aca="false">'1. Company Snapshot'!D38/'1. Company Snapshot'!D37</f>
        <v>0.03945939803028</v>
      </c>
      <c r="F7" s="27" t="s">
        <v>112</v>
      </c>
    </row>
    <row r="8" customFormat="false" ht="33.75" hidden="false" customHeight="true" outlineLevel="0" collapsed="false">
      <c r="A8" s="24" t="s">
        <v>113</v>
      </c>
      <c r="B8" s="25" t="s">
        <v>114</v>
      </c>
      <c r="C8" s="26" t="n">
        <f aca="false">'1. Company Snapshot'!B47/'1. Company Snapshot'!B22</f>
        <v>-0.0372048141099525</v>
      </c>
      <c r="D8" s="26" t="n">
        <f aca="false">'1. Company Snapshot'!C47/'1. Company Snapshot'!C22</f>
        <v>0.102548731651115</v>
      </c>
      <c r="E8" s="26" t="n">
        <f aca="false">'1. Company Snapshot'!D47/'1. Company Snapshot'!D22</f>
        <v>0.408594085902297</v>
      </c>
      <c r="F8" s="27" t="s">
        <v>115</v>
      </c>
    </row>
    <row r="9" customFormat="false" ht="33.75" hidden="false" customHeight="true" outlineLevel="0" collapsed="false">
      <c r="A9" s="24" t="s">
        <v>116</v>
      </c>
      <c r="B9" s="25" t="s">
        <v>117</v>
      </c>
      <c r="C9" s="26" t="n">
        <f aca="false">'1. Company Snapshot'!B47/'1. Company Snapshot'!B37</f>
        <v>-0.00816586744424608</v>
      </c>
      <c r="D9" s="26" t="n">
        <f aca="false">'1. Company Snapshot'!C47/'1. Company Snapshot'!C37</f>
        <v>0.0214764756122035</v>
      </c>
      <c r="E9" s="26" t="n">
        <f aca="false">'1. Company Snapshot'!D47/'1. Company Snapshot'!D37</f>
        <v>0.0866314615597187</v>
      </c>
      <c r="F9" s="27" t="s">
        <v>118</v>
      </c>
    </row>
    <row r="10" customFormat="false" ht="15" hidden="false" customHeight="true" outlineLevel="0" collapsed="false">
      <c r="A10" s="8" t="s">
        <v>119</v>
      </c>
      <c r="B10" s="9"/>
      <c r="C10" s="9"/>
      <c r="D10" s="9"/>
      <c r="E10" s="9"/>
      <c r="F10" s="9"/>
    </row>
    <row r="11" customFormat="false" ht="33.75" hidden="false" customHeight="true" outlineLevel="0" collapsed="false">
      <c r="A11" s="24" t="s">
        <v>120</v>
      </c>
      <c r="B11" s="25" t="s">
        <v>121</v>
      </c>
      <c r="C11" s="26" t="n">
        <f aca="false">'1. Company Snapshot'!B24/'1. Company Snapshot'!B25</f>
        <v>58.0252881472562</v>
      </c>
      <c r="D11" s="26" t="n">
        <f aca="false">'1. Company Snapshot'!C24/'1. Company Snapshot'!C25</f>
        <v>52.0922966162707</v>
      </c>
      <c r="E11" s="26" t="n">
        <f aca="false">'1. Company Snapshot'!D24/'1. Company Snapshot'!D25</f>
        <v>29.2120380147836</v>
      </c>
      <c r="F11" s="27" t="s">
        <v>122</v>
      </c>
    </row>
    <row r="12" customFormat="false" ht="33.75" hidden="false" customHeight="true" outlineLevel="0" collapsed="false">
      <c r="A12" s="24" t="s">
        <v>123</v>
      </c>
      <c r="B12" s="25" t="s">
        <v>124</v>
      </c>
      <c r="C12" s="26" t="n">
        <f aca="false">'1. Company Snapshot'!B22/'1. Company Snapshot'!B25</f>
        <v>70.5964218131774</v>
      </c>
      <c r="D12" s="26" t="n">
        <f aca="false">'1. Company Snapshot'!C22/'1. Company Snapshot'!C25</f>
        <v>64.6123830093593</v>
      </c>
      <c r="E12" s="26" t="n">
        <f aca="false">'1. Company Snapshot'!D22/'1. Company Snapshot'!D25</f>
        <v>36.5124252023936</v>
      </c>
      <c r="F12" s="27" t="s">
        <v>125</v>
      </c>
    </row>
    <row r="13" customFormat="false" ht="15" hidden="false" customHeight="true" outlineLevel="0" collapsed="false">
      <c r="A13" s="8" t="s">
        <v>126</v>
      </c>
      <c r="B13" s="9"/>
      <c r="C13" s="9"/>
      <c r="D13" s="9"/>
      <c r="E13" s="9"/>
      <c r="F13" s="9"/>
    </row>
    <row r="14" customFormat="false" ht="33.75" hidden="false" customHeight="true" outlineLevel="0" collapsed="false">
      <c r="A14" s="24" t="s">
        <v>127</v>
      </c>
      <c r="B14" s="25" t="s">
        <v>128</v>
      </c>
      <c r="C14" s="28" t="n">
        <f aca="false">'1. Company Snapshot'!B22/'1. Company Snapshot'!B15</f>
        <v>0.0808006406133003</v>
      </c>
      <c r="D14" s="28" t="n">
        <f aca="false">'1. Company Snapshot'!C22/'1. Company Snapshot'!C15</f>
        <v>0.0755976653545728</v>
      </c>
      <c r="E14" s="28" t="n">
        <f aca="false">'1. Company Snapshot'!D22/'1. Company Snapshot'!D15</f>
        <v>0.0753637638886186</v>
      </c>
      <c r="F14" s="27" t="s">
        <v>129</v>
      </c>
    </row>
    <row r="15" customFormat="false" ht="33.75" hidden="false" customHeight="true" outlineLevel="0" collapsed="false">
      <c r="A15" s="24" t="s">
        <v>130</v>
      </c>
      <c r="B15" s="25" t="s">
        <v>131</v>
      </c>
      <c r="C15" s="28" t="n">
        <f aca="false">'1. Company Snapshot'!B28/'1. Company Snapshot'!B15</f>
        <v>0.0499245601838043</v>
      </c>
      <c r="D15" s="28" t="n">
        <f aca="false">'1. Company Snapshot'!C28/'1. Company Snapshot'!C15</f>
        <v>0.0456121789715127</v>
      </c>
      <c r="E15" s="28" t="n">
        <f aca="false">'1. Company Snapshot'!D28/'1. Company Snapshot'!D15</f>
        <v>0.0431535609759501</v>
      </c>
      <c r="F15" s="27" t="s">
        <v>132</v>
      </c>
    </row>
    <row r="16" customFormat="false" ht="33.75" hidden="false" customHeight="true" outlineLevel="0" collapsed="false">
      <c r="A16" s="24" t="s">
        <v>133</v>
      </c>
      <c r="B16" s="25" t="s">
        <v>134</v>
      </c>
      <c r="C16" s="28" t="n">
        <f aca="false">'1. Company Snapshot'!B24/AVERAGE('1. Company Snapshot'!B70,'1. Company Snapshot'!B49)</f>
        <v>0.187330851516998</v>
      </c>
      <c r="D16" s="28" t="n">
        <f aca="false">'1. Company Snapshot'!C24/AVERAGE('1. Company Snapshot'!B49,'1. Company Snapshot'!C49)</f>
        <v>0.174201929804203</v>
      </c>
      <c r="E16" s="28" t="n">
        <f aca="false">'1. Company Snapshot'!D24/AVERAGE('1. Company Snapshot'!C49,'1. Company Snapshot'!D49)</f>
        <v>0.168909426061599</v>
      </c>
      <c r="F16" s="27" t="s">
        <v>135</v>
      </c>
    </row>
    <row r="17" customFormat="false" ht="33.75" hidden="false" customHeight="true" outlineLevel="0" collapsed="false">
      <c r="A17" s="24" t="s">
        <v>136</v>
      </c>
      <c r="B17" s="25" t="s">
        <v>137</v>
      </c>
      <c r="C17" s="28" t="n">
        <f aca="false">'1. Company Snapshot'!B29/AVERAGE('1. Company Snapshot'!B68,'1. Company Snapshot'!B35)</f>
        <v>0.145855306971485</v>
      </c>
      <c r="D17" s="28" t="n">
        <f aca="false">'1. Company Snapshot'!C29/AVERAGE('1. Company Snapshot'!B35,'1. Company Snapshot'!C35)</f>
        <v>0.134977272597</v>
      </c>
      <c r="E17" s="28" t="n">
        <f aca="false">'1. Company Snapshot'!D29/AVERAGE('1. Company Snapshot'!C35,'1. Company Snapshot'!D35)</f>
        <v>0.129456270936479</v>
      </c>
      <c r="F17" s="27" t="s">
        <v>138</v>
      </c>
    </row>
    <row r="18" customFormat="false" ht="15" hidden="false" customHeight="true" outlineLevel="0" collapsed="false">
      <c r="A18" s="8" t="s">
        <v>139</v>
      </c>
      <c r="B18" s="9"/>
      <c r="C18" s="9"/>
      <c r="D18" s="9"/>
      <c r="E18" s="9"/>
      <c r="F18" s="9"/>
    </row>
    <row r="19" customFormat="false" ht="33.75" hidden="false" customHeight="true" outlineLevel="0" collapsed="false">
      <c r="A19" s="24" t="s">
        <v>140</v>
      </c>
      <c r="B19" s="25" t="s">
        <v>141</v>
      </c>
      <c r="C19" s="28" t="n">
        <f aca="false">'1. Company Snapshot'!B15/'1. Company Snapshot'!B65-1</f>
        <v>0.185559095378197</v>
      </c>
      <c r="D19" s="28" t="n">
        <f aca="false">'1. Company Snapshot'!C15/'1. Company Snapshot'!B15-1</f>
        <v>0.16872253210007</v>
      </c>
      <c r="E19" s="28" t="n">
        <f aca="false">'1. Company Snapshot'!D15/'1. Company Snapshot'!C15-1</f>
        <v>0.159417130448187</v>
      </c>
      <c r="F19" s="27" t="s">
        <v>142</v>
      </c>
    </row>
    <row r="20" customFormat="false" ht="33.75" hidden="false" customHeight="true" outlineLevel="0" collapsed="false">
      <c r="A20" s="24" t="s">
        <v>143</v>
      </c>
      <c r="B20" s="25" t="s">
        <v>144</v>
      </c>
      <c r="C20" s="28" t="n">
        <f aca="false">'1. Company Snapshot'!B28/'1. Company Snapshot'!B66-1</f>
        <v>0.0661259533960674</v>
      </c>
      <c r="D20" s="28" t="n">
        <f aca="false">'1. Company Snapshot'!C28/'1. Company Snapshot'!B28-1</f>
        <v>0.0677706745122464</v>
      </c>
      <c r="E20" s="28" t="n">
        <f aca="false">'1. Company Snapshot'!D28/'1. Company Snapshot'!C28-1</f>
        <v>0.0969214574599739</v>
      </c>
      <c r="F20" s="27" t="s">
        <v>145</v>
      </c>
    </row>
    <row r="21" customFormat="false" ht="33.75" hidden="false" customHeight="true" outlineLevel="0" collapsed="false">
      <c r="A21" s="24" t="s">
        <v>146</v>
      </c>
      <c r="B21" s="25" t="s">
        <v>147</v>
      </c>
      <c r="C21" s="28" t="n">
        <f aca="false">'1. Company Snapshot'!B53/'1. Company Snapshot'!B22</f>
        <v>0.669101825882054</v>
      </c>
      <c r="D21" s="28" t="n">
        <f aca="false">'1. Company Snapshot'!C53/'1. Company Snapshot'!C22</f>
        <v>0.548872046406215</v>
      </c>
      <c r="E21" s="28" t="n">
        <f aca="false">'1. Company Snapshot'!D53/'1. Company Snapshot'!D22</f>
        <v>0.668404481557246</v>
      </c>
      <c r="F21" s="27" t="s">
        <v>148</v>
      </c>
    </row>
    <row r="22" customFormat="false" ht="33.75" hidden="false" customHeight="true" outlineLevel="0" collapsed="false">
      <c r="A22" s="24" t="s">
        <v>149</v>
      </c>
      <c r="B22" s="25" t="s">
        <v>150</v>
      </c>
      <c r="C22" s="28" t="n">
        <f aca="false">'1. Company Snapshot'!B54/'1. Company Snapshot'!B53</f>
        <v>0.994686507589663</v>
      </c>
      <c r="D22" s="28" t="n">
        <f aca="false">'1. Company Snapshot'!C54/'1. Company Snapshot'!C53</f>
        <v>1.38980174342359</v>
      </c>
      <c r="E22" s="28" t="n">
        <f aca="false">'1. Company Snapshot'!D54/'1. Company Snapshot'!D53</f>
        <v>1.18651816980795</v>
      </c>
      <c r="F22" s="27" t="s">
        <v>151</v>
      </c>
    </row>
    <row r="23" customFormat="false" ht="33.75" hidden="false" customHeight="true" outlineLevel="0" collapsed="false">
      <c r="A23" s="24" t="s">
        <v>152</v>
      </c>
      <c r="B23" s="25" t="s">
        <v>153</v>
      </c>
      <c r="C23" s="29" t="n">
        <f aca="false">'1. Company Snapshot'!B55</f>
        <v>14.5900000000001</v>
      </c>
      <c r="D23" s="29" t="n">
        <f aca="false">'1. Company Snapshot'!C55</f>
        <v>-960.07</v>
      </c>
      <c r="E23" s="29" t="n">
        <f aca="false">'1. Company Snapshot'!D55</f>
        <v>-646.610000000001</v>
      </c>
      <c r="F23" s="27" t="s">
        <v>154</v>
      </c>
    </row>
    <row r="25" customFormat="false" ht="15" hidden="false" customHeight="true" outlineLevel="0" collapsed="false">
      <c r="A25" s="22" t="s">
        <v>155</v>
      </c>
    </row>
    <row r="26" customFormat="false" ht="15" hidden="false" customHeight="true" outlineLevel="0" collapsed="false">
      <c r="A26" s="23" t="s">
        <v>156</v>
      </c>
      <c r="B26" s="23"/>
      <c r="C26" s="23"/>
      <c r="D26" s="23"/>
      <c r="E26" s="23"/>
      <c r="F26" s="23"/>
    </row>
    <row r="27" customFormat="false" ht="15" hidden="false" customHeight="true" outlineLevel="0" collapsed="false">
      <c r="A27" s="23"/>
      <c r="B27" s="23"/>
      <c r="C27" s="23"/>
      <c r="D27" s="23"/>
      <c r="E27" s="23"/>
      <c r="F27" s="23"/>
    </row>
  </sheetData>
  <mergeCells count="3">
    <mergeCell ref="A1:F1"/>
    <mergeCell ref="A2:F2"/>
    <mergeCell ref="A26: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5"/>
    <col collapsed="false" customWidth="true" hidden="false" outlineLevel="0" max="5" min="5" style="0" width="17"/>
    <col collapsed="false" customWidth="true" hidden="false" outlineLevel="0" max="6" min="6" style="0" width="16"/>
    <col collapsed="false" customWidth="true" hidden="false" outlineLevel="0" max="7" min="7" style="0" width="58"/>
  </cols>
  <sheetData>
    <row r="1" customFormat="false" ht="25.5" hidden="false" customHeight="true" outlineLevel="0" collapsed="false">
      <c r="A1" s="2" t="s">
        <v>157</v>
      </c>
      <c r="B1" s="2"/>
      <c r="C1" s="2"/>
      <c r="D1" s="2"/>
      <c r="E1" s="2"/>
      <c r="F1" s="2"/>
    </row>
    <row r="2" customFormat="false" ht="15" hidden="false" customHeight="false" outlineLevel="0" collapsed="false">
      <c r="A2" s="30" t="s">
        <v>158</v>
      </c>
      <c r="B2" s="30"/>
      <c r="C2" s="30"/>
      <c r="D2" s="30"/>
      <c r="E2" s="30"/>
      <c r="F2" s="30"/>
    </row>
    <row r="4" customFormat="false" ht="15" hidden="false" customHeight="false" outlineLevel="0" collapsed="false">
      <c r="A4" s="30" t="s">
        <v>159</v>
      </c>
      <c r="B4" s="30"/>
      <c r="C4" s="30"/>
      <c r="D4" s="30"/>
      <c r="E4" s="30"/>
      <c r="F4" s="30"/>
    </row>
    <row r="6" customFormat="false" ht="30" hidden="false" customHeight="true" outlineLevel="0" collapsed="false">
      <c r="A6" s="31" t="s">
        <v>160</v>
      </c>
      <c r="B6" s="32" t="s">
        <v>161</v>
      </c>
      <c r="C6" s="32" t="s">
        <v>162</v>
      </c>
      <c r="D6" s="32" t="s">
        <v>163</v>
      </c>
      <c r="E6" s="32" t="s">
        <v>164</v>
      </c>
      <c r="F6" s="32" t="s">
        <v>165</v>
      </c>
    </row>
    <row r="7" customFormat="false" ht="15" hidden="false" customHeight="false" outlineLevel="0" collapsed="false">
      <c r="A7" s="33" t="s">
        <v>166</v>
      </c>
      <c r="B7" s="34" t="n">
        <v>0.2</v>
      </c>
      <c r="C7" s="35" t="n">
        <v>4</v>
      </c>
      <c r="D7" s="36" t="n">
        <v>3</v>
      </c>
      <c r="E7" s="35" t="n">
        <v>5</v>
      </c>
      <c r="F7" s="37" t="n">
        <v>1</v>
      </c>
      <c r="G7" s="38" t="s">
        <v>167</v>
      </c>
    </row>
    <row r="8" customFormat="false" ht="15" hidden="false" customHeight="false" outlineLevel="0" collapsed="false">
      <c r="A8" s="33" t="s">
        <v>168</v>
      </c>
      <c r="B8" s="34" t="n">
        <v>0.2</v>
      </c>
      <c r="C8" s="35" t="n">
        <v>5</v>
      </c>
      <c r="D8" s="35" t="n">
        <v>5</v>
      </c>
      <c r="E8" s="37" t="n">
        <v>1</v>
      </c>
      <c r="F8" s="35" t="n">
        <v>5</v>
      </c>
      <c r="G8" s="38" t="s">
        <v>169</v>
      </c>
    </row>
    <row r="9" customFormat="false" ht="15" hidden="false" customHeight="false" outlineLevel="0" collapsed="false">
      <c r="A9" s="33" t="s">
        <v>170</v>
      </c>
      <c r="B9" s="34" t="n">
        <v>0.2</v>
      </c>
      <c r="C9" s="35" t="n">
        <v>4</v>
      </c>
      <c r="D9" s="35" t="n">
        <v>4</v>
      </c>
      <c r="E9" s="37" t="n">
        <v>1</v>
      </c>
      <c r="F9" s="35" t="n">
        <v>5</v>
      </c>
      <c r="G9" s="38" t="s">
        <v>171</v>
      </c>
    </row>
    <row r="10" customFormat="false" ht="15" hidden="false" customHeight="false" outlineLevel="0" collapsed="false">
      <c r="A10" s="33" t="s">
        <v>172</v>
      </c>
      <c r="B10" s="34" t="n">
        <v>0.1</v>
      </c>
      <c r="C10" s="35" t="n">
        <v>5</v>
      </c>
      <c r="D10" s="35" t="n">
        <v>5</v>
      </c>
      <c r="E10" s="35" t="n">
        <v>5</v>
      </c>
      <c r="F10" s="37" t="n">
        <v>2</v>
      </c>
      <c r="G10" s="38" t="s">
        <v>173</v>
      </c>
    </row>
    <row r="11" customFormat="false" ht="15" hidden="false" customHeight="false" outlineLevel="0" collapsed="false">
      <c r="A11" s="33" t="s">
        <v>174</v>
      </c>
      <c r="B11" s="34" t="n">
        <v>0.1</v>
      </c>
      <c r="C11" s="36" t="n">
        <v>3</v>
      </c>
      <c r="D11" s="35" t="n">
        <v>4</v>
      </c>
      <c r="E11" s="35" t="n">
        <v>5</v>
      </c>
      <c r="F11" s="37" t="n">
        <v>2</v>
      </c>
      <c r="G11" s="38" t="s">
        <v>175</v>
      </c>
    </row>
    <row r="12" customFormat="false" ht="15" hidden="false" customHeight="false" outlineLevel="0" collapsed="false">
      <c r="A12" s="33" t="s">
        <v>176</v>
      </c>
      <c r="B12" s="34" t="n">
        <v>0.1</v>
      </c>
      <c r="C12" s="35" t="n">
        <v>4</v>
      </c>
      <c r="D12" s="37" t="n">
        <v>2</v>
      </c>
      <c r="E12" s="35" t="n">
        <v>5</v>
      </c>
      <c r="F12" s="37" t="n">
        <v>2</v>
      </c>
      <c r="G12" s="38" t="s">
        <v>177</v>
      </c>
    </row>
    <row r="13" customFormat="false" ht="15" hidden="false" customHeight="false" outlineLevel="0" collapsed="false">
      <c r="A13" s="33" t="s">
        <v>178</v>
      </c>
      <c r="B13" s="34" t="n">
        <v>0.1</v>
      </c>
      <c r="C13" s="35" t="n">
        <v>5</v>
      </c>
      <c r="D13" s="36" t="n">
        <v>3</v>
      </c>
      <c r="E13" s="37" t="n">
        <v>2</v>
      </c>
      <c r="F13" s="37" t="n">
        <v>1</v>
      </c>
      <c r="G13" s="38" t="s">
        <v>179</v>
      </c>
    </row>
    <row r="14" customFormat="false" ht="15" hidden="false" customHeight="false" outlineLevel="0" collapsed="false">
      <c r="A14" s="13" t="s">
        <v>180</v>
      </c>
      <c r="B14" s="39" t="n">
        <f aca="false">SUM(B7:B13)</f>
        <v>1</v>
      </c>
      <c r="C14" s="40"/>
      <c r="D14" s="40"/>
      <c r="E14" s="40"/>
      <c r="F14" s="40"/>
    </row>
    <row r="16" customFormat="false" ht="16.15" hidden="false" customHeight="false" outlineLevel="0" collapsed="false">
      <c r="A16" s="41" t="s">
        <v>181</v>
      </c>
      <c r="B16" s="42"/>
      <c r="C16" s="43" t="n">
        <f aca="false">SUMPRODUCT($B$7:$B$13,C7:C13)</f>
        <v>4.3</v>
      </c>
      <c r="D16" s="43" t="n">
        <f aca="false">SUMPRODUCT($B$7:$B$13,D7:D13)</f>
        <v>3.8</v>
      </c>
      <c r="E16" s="43" t="n">
        <f aca="false">SUMPRODUCT($B$7:$B$13,E7:E13)</f>
        <v>3.1</v>
      </c>
      <c r="F16" s="43" t="n">
        <f aca="false">SUMPRODUCT($B$7:$B$13,F7:F13)</f>
        <v>2.9</v>
      </c>
    </row>
    <row r="17" customFormat="false" ht="15" hidden="false" customHeight="false" outlineLevel="0" collapsed="false">
      <c r="A17" s="44" t="s">
        <v>182</v>
      </c>
      <c r="B17" s="40"/>
      <c r="C17" s="45" t="n">
        <f aca="false">RANK(C16,$C$16:$F$16)</f>
        <v>1</v>
      </c>
      <c r="D17" s="45" t="n">
        <f aca="false">RANK(D16,$C$16:$F$16)</f>
        <v>2</v>
      </c>
      <c r="E17" s="45" t="n">
        <f aca="false">RANK(E16,$C$16:$F$16)</f>
        <v>3</v>
      </c>
      <c r="F17" s="45" t="n">
        <f aca="false">RANK(F16,$C$16:$F$16)</f>
        <v>4</v>
      </c>
    </row>
    <row r="19" customFormat="false" ht="15" hidden="false" customHeight="true" outlineLevel="0" collapsed="false">
      <c r="A19" s="46" t="s">
        <v>183</v>
      </c>
      <c r="B19" s="47" t="s">
        <v>184</v>
      </c>
      <c r="C19" s="47"/>
      <c r="D19" s="47"/>
      <c r="E19" s="47"/>
      <c r="F19" s="47"/>
      <c r="G19" s="47"/>
    </row>
    <row r="20" customFormat="false" ht="15" hidden="false" customHeight="false" outlineLevel="0" collapsed="false">
      <c r="B20" s="47"/>
      <c r="C20" s="47"/>
      <c r="D20" s="47"/>
      <c r="E20" s="47"/>
      <c r="F20" s="47"/>
      <c r="G20" s="47"/>
    </row>
    <row r="21" customFormat="false" ht="15" hidden="false" customHeight="true" outlineLevel="0" collapsed="false">
      <c r="A21" s="48" t="s">
        <v>185</v>
      </c>
      <c r="B21" s="23" t="s">
        <v>186</v>
      </c>
      <c r="C21" s="23"/>
      <c r="D21" s="23"/>
      <c r="E21" s="23"/>
      <c r="F21" s="23"/>
      <c r="G21" s="23"/>
    </row>
    <row r="22" customFormat="false" ht="15" hidden="false" customHeight="false" outlineLevel="0" collapsed="false">
      <c r="B22" s="23"/>
      <c r="C22" s="23"/>
      <c r="D22" s="23"/>
      <c r="E22" s="23"/>
      <c r="F22" s="23"/>
      <c r="G22" s="23"/>
    </row>
  </sheetData>
  <mergeCells count="5">
    <mergeCell ref="A1:F1"/>
    <mergeCell ref="A2:F2"/>
    <mergeCell ref="A4:F4"/>
    <mergeCell ref="B19:G20"/>
    <mergeCell ref="B21: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5"/>
    <col collapsed="false" customWidth="true" hidden="false" outlineLevel="0" max="4" min="4" style="0" width="14"/>
    <col collapsed="false" customWidth="true" hidden="false" outlineLevel="0" max="5" min="5" style="0" width="24"/>
    <col collapsed="false" customWidth="true" hidden="false" outlineLevel="0" max="6" min="6" style="0" width="62"/>
  </cols>
  <sheetData>
    <row r="1" customFormat="false" ht="25.5" hidden="false" customHeight="true" outlineLevel="0" collapsed="false">
      <c r="A1" s="2" t="s">
        <v>187</v>
      </c>
      <c r="B1" s="2"/>
      <c r="C1" s="2"/>
      <c r="D1" s="2"/>
      <c r="E1" s="2"/>
      <c r="F1" s="2"/>
    </row>
    <row r="2" customFormat="false" ht="15" hidden="false" customHeight="false" outlineLevel="0" collapsed="false">
      <c r="A2" s="30" t="s">
        <v>188</v>
      </c>
      <c r="B2" s="30"/>
      <c r="C2" s="30"/>
      <c r="D2" s="30"/>
      <c r="E2" s="30"/>
      <c r="F2" s="30"/>
    </row>
    <row r="5" customFormat="false" ht="30" hidden="false" customHeight="true" outlineLevel="0" collapsed="false">
      <c r="A5" s="31" t="s">
        <v>189</v>
      </c>
      <c r="B5" s="32" t="s">
        <v>190</v>
      </c>
      <c r="C5" s="32" t="s">
        <v>191</v>
      </c>
      <c r="D5" s="32" t="s">
        <v>192</v>
      </c>
      <c r="E5" s="32" t="s">
        <v>193</v>
      </c>
      <c r="F5" s="32" t="s">
        <v>194</v>
      </c>
    </row>
    <row r="6" customFormat="false" ht="45.75" hidden="false" customHeight="true" outlineLevel="0" collapsed="false">
      <c r="A6" s="49" t="s">
        <v>195</v>
      </c>
      <c r="B6" s="50" t="s">
        <v>196</v>
      </c>
      <c r="C6" s="51" t="n">
        <f aca="false">'2. Ratio Analysis'!E6</f>
        <v>0.0991314819992838</v>
      </c>
      <c r="D6" s="52" t="str">
        <f aca="false">IF(C6&gt;=E6,"RED",IF(C6&gt;=E6*0.6,"AMBER","GREEN"))</f>
        <v>GREEN</v>
      </c>
      <c r="E6" s="53" t="n">
        <v>0.2</v>
      </c>
      <c r="F6" s="54" t="s">
        <v>197</v>
      </c>
    </row>
    <row r="7" customFormat="false" ht="45.75" hidden="false" customHeight="true" outlineLevel="0" collapsed="false">
      <c r="A7" s="49" t="s">
        <v>195</v>
      </c>
      <c r="B7" s="50" t="s">
        <v>198</v>
      </c>
      <c r="C7" s="51" t="n">
        <f aca="false">'2. Ratio Analysis'!E8</f>
        <v>0.408594085902297</v>
      </c>
      <c r="D7" s="52" t="str">
        <f aca="false">IF(C7&gt;=E7,"RED",IF(C7&gt;=E7*0.6,"AMBER","GREEN"))</f>
        <v>GREEN</v>
      </c>
      <c r="E7" s="53" t="n">
        <v>3</v>
      </c>
      <c r="F7" s="54" t="s">
        <v>199</v>
      </c>
    </row>
    <row r="8" customFormat="false" ht="45.75" hidden="false" customHeight="true" outlineLevel="0" collapsed="false">
      <c r="A8" s="49" t="s">
        <v>200</v>
      </c>
      <c r="B8" s="50" t="s">
        <v>201</v>
      </c>
      <c r="C8" s="51" t="n">
        <f aca="false">'2. Ratio Analysis'!E11</f>
        <v>29.2120380147836</v>
      </c>
      <c r="D8" s="52" t="str">
        <f aca="false">IF(C8&lt;=E8,"RED",IF(C8&lt;=E8*2,"AMBER","GREEN"))</f>
        <v>GREEN</v>
      </c>
      <c r="E8" s="53" t="n">
        <v>4</v>
      </c>
      <c r="F8" s="54" t="s">
        <v>202</v>
      </c>
    </row>
    <row r="9" customFormat="false" ht="45.75" hidden="false" customHeight="true" outlineLevel="0" collapsed="false">
      <c r="A9" s="49" t="s">
        <v>203</v>
      </c>
      <c r="B9" s="50" t="s">
        <v>204</v>
      </c>
      <c r="C9" s="55" t="n">
        <f aca="false">'2. Ratio Analysis'!E22</f>
        <v>1.18651816980795</v>
      </c>
      <c r="D9" s="52" t="str">
        <f aca="false">IF(C9&gt;=E9,"AMBER","GREEN")</f>
        <v>AMBER</v>
      </c>
      <c r="E9" s="56" t="n">
        <v>1</v>
      </c>
      <c r="F9" s="54" t="s">
        <v>205</v>
      </c>
    </row>
    <row r="10" customFormat="false" ht="45.75" hidden="false" customHeight="true" outlineLevel="0" collapsed="false">
      <c r="A10" s="49" t="s">
        <v>203</v>
      </c>
      <c r="B10" s="50" t="s">
        <v>146</v>
      </c>
      <c r="C10" s="55" t="n">
        <f aca="false">'2. Ratio Analysis'!E21</f>
        <v>0.668404481557246</v>
      </c>
      <c r="D10" s="52" t="str">
        <f aca="false">IF(C10&lt;=E10,"RED",IF(C10&lt;=E10*1.2,"AMBER","GREEN"))</f>
        <v>GREEN</v>
      </c>
      <c r="E10" s="56" t="n">
        <v>0.5</v>
      </c>
      <c r="F10" s="54" t="s">
        <v>206</v>
      </c>
    </row>
    <row r="11" customFormat="false" ht="45.75" hidden="false" customHeight="true" outlineLevel="0" collapsed="false">
      <c r="A11" s="49" t="s">
        <v>207</v>
      </c>
      <c r="B11" s="50" t="s">
        <v>127</v>
      </c>
      <c r="C11" s="55" t="n">
        <f aca="false">'2. Ratio Analysis'!E14</f>
        <v>0.0753637638886186</v>
      </c>
      <c r="D11" s="52" t="str">
        <f aca="false">IF(C11&lt;=E11,"RED",IF(C11&lt;=E11*1.15,"AMBER","GREEN"))</f>
        <v>AMBER</v>
      </c>
      <c r="E11" s="56" t="n">
        <v>0.07</v>
      </c>
      <c r="F11" s="54" t="s">
        <v>208</v>
      </c>
    </row>
    <row r="12" customFormat="false" ht="45.75" hidden="false" customHeight="true" outlineLevel="0" collapsed="false">
      <c r="A12" s="49" t="s">
        <v>209</v>
      </c>
      <c r="B12" s="50" t="s">
        <v>210</v>
      </c>
      <c r="C12" s="57" t="n">
        <v>0.7448</v>
      </c>
      <c r="D12" s="52" t="str">
        <f aca="false">IF(C12&gt;=E12,"RED","GREEN")</f>
        <v>GREEN</v>
      </c>
      <c r="E12" s="56" t="n">
        <v>0.75</v>
      </c>
      <c r="F12" s="54" t="s">
        <v>211</v>
      </c>
    </row>
    <row r="13" customFormat="false" ht="45.75" hidden="false" customHeight="true" outlineLevel="0" collapsed="false">
      <c r="A13" s="49" t="s">
        <v>212</v>
      </c>
      <c r="B13" s="50" t="s">
        <v>213</v>
      </c>
      <c r="C13" s="58" t="n">
        <v>307</v>
      </c>
      <c r="D13" s="52" t="str">
        <f aca="false">"RED"</f>
        <v>RED</v>
      </c>
      <c r="E13" s="59" t="n">
        <v>0</v>
      </c>
      <c r="F13" s="54" t="s">
        <v>214</v>
      </c>
    </row>
    <row r="15" customFormat="false" ht="24" hidden="false" customHeight="true" outlineLevel="0" collapsed="false">
      <c r="A15" s="60" t="s">
        <v>215</v>
      </c>
      <c r="B15" s="61" t="s">
        <v>216</v>
      </c>
      <c r="C15" s="61"/>
      <c r="D15" s="61"/>
      <c r="E15" s="61"/>
      <c r="F15" s="61"/>
    </row>
    <row r="17" customFormat="false" ht="15" hidden="false" customHeight="true" outlineLevel="0" collapsed="false">
      <c r="A17" s="46" t="s">
        <v>217</v>
      </c>
      <c r="B17" s="62" t="s">
        <v>218</v>
      </c>
      <c r="C17" s="62"/>
      <c r="D17" s="62"/>
      <c r="E17" s="62"/>
      <c r="F17" s="62"/>
    </row>
    <row r="18" customFormat="false" ht="15" hidden="false" customHeight="false" outlineLevel="0" collapsed="false">
      <c r="B18" s="62"/>
      <c r="C18" s="62"/>
      <c r="D18" s="62"/>
      <c r="E18" s="62"/>
      <c r="F18" s="62"/>
    </row>
  </sheetData>
  <mergeCells count="4">
    <mergeCell ref="A1:F1"/>
    <mergeCell ref="A2:F2"/>
    <mergeCell ref="B15:F15"/>
    <mergeCell ref="B17:F18"/>
  </mergeCells>
  <conditionalFormatting sqref="D6:D13">
    <cfRule type="cellIs" priority="2" operator="equal" aboveAverage="0" equalAverage="0" bottom="0" percent="0" rank="0" text="" dxfId="0">
      <formula>"GREEN"</formula>
    </cfRule>
    <cfRule type="cellIs" priority="3" operator="equal" aboveAverage="0" equalAverage="0" bottom="0" percent="0" rank="0" text="" dxfId="1">
      <formula>"AMBER"</formula>
    </cfRule>
    <cfRule type="cellIs" priority="4" operator="equal" aboveAverage="0" equalAverage="0" bottom="0" percent="0" rank="0" text="" dxfId="2">
      <formula>"RED"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30"/>
    <col collapsed="false" customWidth="true" hidden="false" outlineLevel="0" max="4" min="4" style="0" width="26"/>
  </cols>
  <sheetData>
    <row r="1" customFormat="false" ht="25.5" hidden="false" customHeight="true" outlineLevel="0" collapsed="false">
      <c r="A1" s="2" t="s">
        <v>219</v>
      </c>
      <c r="B1" s="2"/>
      <c r="C1" s="2"/>
      <c r="D1" s="2"/>
    </row>
    <row r="2" customFormat="false" ht="15" hidden="false" customHeight="false" outlineLevel="0" collapsed="false">
      <c r="A2" s="30" t="s">
        <v>220</v>
      </c>
      <c r="B2" s="30"/>
      <c r="C2" s="30"/>
      <c r="D2" s="30"/>
    </row>
    <row r="4" customFormat="false" ht="36" hidden="false" customHeight="true" outlineLevel="0" collapsed="false">
      <c r="A4" s="63" t="s">
        <v>221</v>
      </c>
      <c r="B4" s="64" t="s">
        <v>222</v>
      </c>
      <c r="C4" s="64"/>
      <c r="D4" s="64"/>
    </row>
    <row r="5" customFormat="false" ht="15" hidden="false" customHeight="true" outlineLevel="0" collapsed="false">
      <c r="A5" s="63" t="s">
        <v>223</v>
      </c>
      <c r="B5" s="50" t="s">
        <v>224</v>
      </c>
      <c r="C5" s="50"/>
      <c r="D5" s="50"/>
    </row>
    <row r="6" customFormat="false" ht="15" hidden="false" customHeight="true" outlineLevel="0" collapsed="false">
      <c r="A6" s="63" t="s">
        <v>225</v>
      </c>
      <c r="B6" s="50" t="s">
        <v>226</v>
      </c>
      <c r="C6" s="50"/>
      <c r="D6" s="50"/>
    </row>
    <row r="7" customFormat="false" ht="39.75" hidden="false" customHeight="true" outlineLevel="0" collapsed="false">
      <c r="A7" s="63" t="s">
        <v>192</v>
      </c>
      <c r="B7" s="50" t="s">
        <v>227</v>
      </c>
      <c r="C7" s="50"/>
      <c r="D7" s="50"/>
    </row>
    <row r="8" customFormat="false" ht="39.75" hidden="false" customHeight="true" outlineLevel="0" collapsed="false">
      <c r="A8" s="63" t="s">
        <v>228</v>
      </c>
      <c r="B8" s="50" t="s">
        <v>229</v>
      </c>
      <c r="C8" s="50"/>
      <c r="D8" s="50"/>
    </row>
    <row r="10" customFormat="false" ht="15" hidden="false" customHeight="false" outlineLevel="0" collapsed="false">
      <c r="A10" s="65" t="s">
        <v>230</v>
      </c>
      <c r="B10" s="65"/>
      <c r="C10" s="65"/>
      <c r="D10" s="65"/>
    </row>
    <row r="11" customFormat="false" ht="30" hidden="false" customHeight="true" outlineLevel="0" collapsed="false">
      <c r="A11" s="31" t="s">
        <v>231</v>
      </c>
      <c r="B11" s="32" t="s">
        <v>232</v>
      </c>
      <c r="C11" s="32"/>
      <c r="D11" s="32"/>
    </row>
    <row r="12" customFormat="false" ht="42" hidden="false" customHeight="true" outlineLevel="0" collapsed="false">
      <c r="A12" s="24" t="s">
        <v>233</v>
      </c>
      <c r="B12" s="54" t="s">
        <v>234</v>
      </c>
      <c r="C12" s="54"/>
      <c r="D12" s="54"/>
    </row>
    <row r="13" customFormat="false" ht="42" hidden="false" customHeight="true" outlineLevel="0" collapsed="false">
      <c r="A13" s="24" t="s">
        <v>235</v>
      </c>
      <c r="B13" s="54" t="s">
        <v>236</v>
      </c>
      <c r="C13" s="54"/>
      <c r="D13" s="54"/>
    </row>
    <row r="14" customFormat="false" ht="42" hidden="false" customHeight="true" outlineLevel="0" collapsed="false">
      <c r="A14" s="24" t="s">
        <v>237</v>
      </c>
      <c r="B14" s="54" t="s">
        <v>238</v>
      </c>
      <c r="C14" s="54"/>
      <c r="D14" s="54"/>
    </row>
    <row r="15" customFormat="false" ht="42" hidden="false" customHeight="true" outlineLevel="0" collapsed="false">
      <c r="A15" s="24" t="s">
        <v>239</v>
      </c>
      <c r="B15" s="54" t="s">
        <v>240</v>
      </c>
      <c r="C15" s="54"/>
      <c r="D15" s="54"/>
    </row>
    <row r="16" customFormat="false" ht="42" hidden="false" customHeight="true" outlineLevel="0" collapsed="false">
      <c r="A16" s="24" t="s">
        <v>241</v>
      </c>
      <c r="B16" s="54" t="s">
        <v>242</v>
      </c>
      <c r="C16" s="54"/>
      <c r="D16" s="54"/>
    </row>
    <row r="17" customFormat="false" ht="42" hidden="false" customHeight="true" outlineLevel="0" collapsed="false">
      <c r="A17" s="24" t="s">
        <v>243</v>
      </c>
      <c r="B17" s="54" t="s">
        <v>244</v>
      </c>
      <c r="C17" s="54"/>
      <c r="D17" s="54"/>
    </row>
    <row r="19" customFormat="false" ht="15" hidden="false" customHeight="false" outlineLevel="0" collapsed="false">
      <c r="A19" s="65" t="s">
        <v>245</v>
      </c>
      <c r="B19" s="65"/>
      <c r="C19" s="65"/>
      <c r="D19" s="65"/>
    </row>
    <row r="20" customFormat="false" ht="30" hidden="false" customHeight="true" outlineLevel="0" collapsed="false">
      <c r="A20" s="31" t="s">
        <v>246</v>
      </c>
      <c r="B20" s="32" t="s">
        <v>247</v>
      </c>
      <c r="C20" s="32" t="s">
        <v>248</v>
      </c>
      <c r="D20" s="32"/>
    </row>
    <row r="21" customFormat="false" ht="45.75" hidden="false" customHeight="true" outlineLevel="0" collapsed="false">
      <c r="A21" s="24" t="s">
        <v>249</v>
      </c>
      <c r="B21" s="54" t="s">
        <v>250</v>
      </c>
      <c r="C21" s="54" t="s">
        <v>251</v>
      </c>
      <c r="D21" s="54"/>
    </row>
    <row r="22" customFormat="false" ht="45.75" hidden="false" customHeight="true" outlineLevel="0" collapsed="false">
      <c r="A22" s="24" t="s">
        <v>252</v>
      </c>
      <c r="B22" s="54" t="s">
        <v>253</v>
      </c>
      <c r="C22" s="54" t="s">
        <v>254</v>
      </c>
      <c r="D22" s="54"/>
    </row>
    <row r="23" customFormat="false" ht="45.75" hidden="false" customHeight="true" outlineLevel="0" collapsed="false">
      <c r="A23" s="24" t="s">
        <v>255</v>
      </c>
      <c r="B23" s="54" t="s">
        <v>256</v>
      </c>
      <c r="C23" s="54" t="s">
        <v>257</v>
      </c>
      <c r="D23" s="54"/>
    </row>
    <row r="24" customFormat="false" ht="45.75" hidden="false" customHeight="true" outlineLevel="0" collapsed="false">
      <c r="A24" s="24" t="s">
        <v>258</v>
      </c>
      <c r="B24" s="54" t="s">
        <v>259</v>
      </c>
      <c r="C24" s="54" t="s">
        <v>260</v>
      </c>
      <c r="D24" s="54"/>
    </row>
  </sheetData>
  <mergeCells count="20">
    <mergeCell ref="A1:D1"/>
    <mergeCell ref="A2:D2"/>
    <mergeCell ref="B4:D4"/>
    <mergeCell ref="B5:D5"/>
    <mergeCell ref="B6:D6"/>
    <mergeCell ref="B7:D7"/>
    <mergeCell ref="B8:D8"/>
    <mergeCell ref="A10:D10"/>
    <mergeCell ref="B11:D11"/>
    <mergeCell ref="B12:D12"/>
    <mergeCell ref="B13:D13"/>
    <mergeCell ref="B14:D14"/>
    <mergeCell ref="B15:D15"/>
    <mergeCell ref="B16:D16"/>
    <mergeCell ref="B17:D17"/>
    <mergeCell ref="A19:D19"/>
    <mergeCell ref="C21:D21"/>
    <mergeCell ref="C22:D22"/>
    <mergeCell ref="C23:D23"/>
    <mergeCell ref="C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2026-09-13T14:42:44Z</dcterms:created>
  <dc:creator>openpyxl</dc:creator>
  <dc:description/>
  <dc:language>en-US</dc:language>
  <cp:lastModifiedBy/>
  <dcterms:modified xsi:type="dcterms:W3CDTF">2026-09-17T19:24:47Z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