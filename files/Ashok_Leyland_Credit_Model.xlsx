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Sources" sheetId="1" state="visible" r:id="rId3"/>
    <sheet name="Financials" sheetId="2" state="visible" r:id="rId4"/>
    <sheet name="Ratios" sheetId="3" state="visible" r:id="rId5"/>
    <sheet name="Debt_Analysis" sheetId="4" state="visible" r:id="rId6"/>
    <sheet name="Consolidated_Vie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<sst xmlns="http://schemas.openxmlformats.org/spreadsheetml/2006/main" count="590" uniqueCount="455">
  <si>
    <t xml:space="preserve">Ashok Leyland Limited - Credit Assessment: Data Sources Used (Assignment Point 3)</t>
  </si>
  <si>
    <t xml:space="preserve">Company: Ashok Leyland Ltd (NSE: ASHOKLEY), Hinduja Group flagship; commercial-vehicle OEM. Basis: STANDALONE financial statements, ₹ crore, FY24-FY26 (years ending 31 March). Sources: Annual Reports 2023-24, 2024-25 and 2025-26 (uploaded). Page numbers are the printed page numbers of each annual report.</t>
  </si>
  <si>
    <t xml:space="preserve">Source</t>
  </si>
  <si>
    <t xml:space="preserve">What was extracted</t>
  </si>
  <si>
    <t xml:space="preserve">Where (printed pages)</t>
  </si>
  <si>
    <t xml:space="preserve">Key evidence found</t>
  </si>
  <si>
    <t xml:space="preserve">Why it matters for credit</t>
  </si>
  <si>
    <t xml:space="preserve">Workbook sheet</t>
  </si>
  <si>
    <t xml:space="preserve">1. Latest annual report + two prior years (FY24, FY25, FY26)</t>
  </si>
  <si>
    <t xml:space="preserve">Revenue, EBITDA, PAT, borrowings, lease liabilities, finance cost (with break-up), CFO, capex, dividends, tax paid, full balance sheet</t>
  </si>
  <si>
    <t xml:space="preserve">FY26 AR: BS p.122, P&amp;L p.123, CF p.124-125, Note 2.5 p.169
FY25 AR: BS p.112, P&amp;L p.113, CF p.114-115, Note 2.5 p.158
FY24 AR: BS p.116, P&amp;L p.117, CF p.118-119</t>
  </si>
  <si>
    <t xml:space="preserve">Revenue ₹38,367 cr → ₹38,753 cr → ₹44,007 cr; PAT ₹2,618 cr → ₹3,303 cr → ₹3,566 cr. Total debt incl. leases fell from ₹2,299 cr to ₹1,195 cr while cash and liquid investments rose, turning the company net-cash. Reported CFO (₹2,503 / ₹7,819 / ₹4,792 cr) is distorted by a ₹1,453 cr interim-dividend bank-account swing between FY24 and FY25, so an adjusted CFO is used. Capex doubled from ₹496 cr to ₹1,050 cr. FY26 PAT absorbed a one-off ₹308 cr labour-code charge.</t>
  </si>
  <si>
    <t xml:space="preserve">A three-year trend shows whether deleveraging and margin gains are structural or one-off; adjustments remove timing distortions before ratios are read.</t>
  </si>
  <si>
    <t xml:space="preserve">Financials, Ratios</t>
  </si>
  <si>
    <t xml:space="preserve">2. Management Discussion &amp; Analysis</t>
  </si>
  <si>
    <t xml:space="preserve">Industry volumes and outlook, demand drivers, market share, competition, stated risks and threats</t>
  </si>
  <si>
    <t xml:space="preserve">FY26 AR p.52-58 (industry table p.54, risk section p.56-57)
FY25 AR p.48 onward
FY24 AR p.60 onward</t>
  </si>
  <si>
    <t xml:space="preserve">Domestic CV industry hit a record ~10.8 lakh units in FY26 (+12.6%), with a weak H1 and a strong H2 after the GST cut on CVs from 28% to 18% (Sept-2025). Ashok Leyland's M&amp;HCV share slipped from 31.1% (FY24) to 30.7% (FY25) to 30.3% (FY26); it leads buses (~34%) and hit a record LCV share (Vahan 12.7%). Exports rose 18.5% to 18,082 units; aftermarket revenue about ₹4,450 cr. Management flags West Asia/crude risk, tariffs, emission-compliance costs, electric 3-wheeler substitution in LCVs, volatile export markets and delays in government capex. MHCV truck volumes were flat for three years before FY26, which confirms cyclicality.</t>
  </si>
  <si>
    <t xml:space="preserve">Places the ratios in the CV cycle: FY26 is an up-cycle year, so leverage headroom must be tested against a downturn.</t>
  </si>
  <si>
    <t xml:space="preserve">Data_Sources (qualitative), Financials memo</t>
  </si>
  <si>
    <t xml:space="preserve">3. Notes to Accounts</t>
  </si>
  <si>
    <t xml:space="preserve">Borrowings by instrument, security, repayment terms, current maturities, covenants, contingent liabilities, guarantees, commitments, related-party dealings</t>
  </si>
  <si>
    <t xml:space="preserve">FY26 AR: Notes 1.16 p.161, 1.21 p.163, 1.11B p.157, 3.8 RPT p.193-199, 3.9 p.200-201, 3.10 p.201, 3.11-3.12 p.202-203
FY25 AR: 1.16 p.151, 1.21 p.153, 3.8 p.181, 3.9 p.188-189, 3.11 p.190
FY24 AR: 1.16 p.154, 1.21 p.156, 3.9 p.187, 3.11 p.188</t>
  </si>
  <si>
    <t xml:space="preserve">FY26 debt consists only of secured bank term loans, one ₹200 cr 7.30% NCD (bullet 17-Mar-2027), a ₹150 cr short-term loan and an interest-free sales-tax loan; the weighted cost is 6.83%. All covenants were met, and they include rating and promoter-holding triggers. Contingent liabilities are modest at ₹343 cr, mostly indirect-tax disputes. Guarantees for subsidiaries total ₹786 cr, mainly Switch Mobility UK (₹633 cr), whose UK manufacturing was discontinued in FY26. Continuing support to loss-making EV subsidiaries: ₹499 cr application money to Optare (FY25) and a ₹371 cr investment (FY26). Related-party items include ICDs to Hinduja group entities (up to ₹100 cr each during FY26, nil at year-end), dividends of ₹933 cr to the promoter, and an unquantified End-of-Life-Vehicle EPR obligation.</t>
  </si>
  <si>
    <t xml:space="preserve">The notes carry the strongest credit evidence: hidden obligations, security, covenant triggers and group cash leakage that the headline ratios do not show.</t>
  </si>
  <si>
    <t xml:space="preserve">Debt_Analysis (A, F, H), Ratios §7</t>
  </si>
  <si>
    <t xml:space="preserve">4. Financial risk / liquidity disclosure (Note 3.6)</t>
  </si>
  <si>
    <t xml:space="preserve">Contractual maturity bands, undrawn lines, CP headroom, fixed/floating mix, rate sensitivity, FX exposure and hedging</t>
  </si>
  <si>
    <t xml:space="preserve">FY26 AR: capital mgmt p.183, FX p.183-185, interest rate p.186, liquidity p.187-188
FY25 AR p.171-176
FY24 AR p.172-176</t>
  </si>
  <si>
    <t xml:space="preserve">Borrowing outflows due within 1 year: ₹1,234 cr (FY24), ₹614 cr (FY25), ₹698 cr (FY26). FY26 has undrawn bank lines of ₹2,854 cr plus a ₹2,000 cr CP option. Floating-rate debt is only ₹403 cr, and a 25 bp move changes profit by about ₹1 cr. Net FX exposure is small and largely hedged with forwards.</t>
  </si>
  <si>
    <t xml:space="preserve">Shows refinancing and liquidity risk: whether near-term maturities can be met from cash and lines without market access.</t>
  </si>
  <si>
    <t xml:space="preserve">Debt_Analysis (B, C, D, G)</t>
  </si>
  <si>
    <t xml:space="preserve">5. Consolidated financial statements (supplementary)</t>
  </si>
  <si>
    <t xml:space="preserve">Group borrowings, equity, finance cost; structure of Hinduja Leyland Finance (HLF)</t>
  </si>
  <si>
    <t xml:space="preserve">FY26 AR p.220-221, Board's Report p.22 (HLF-NDL merger scheme)
FY25 AR p.208-209</t>
  </si>
  <si>
    <t xml:space="preserve">Consolidated borrowings of about ₹63,650 cr (FY26) are overwhelmingly HLF's NBFC debt, against standalone borrowings of about ₹1,152 cr. A scheme to merge HLF into NDL Ventures is awaiting NCLT approval.</t>
  </si>
  <si>
    <t xml:space="preserve">Justifies standalone analysis and highlights group-support and contagion risk.</t>
  </si>
  <si>
    <t xml:space="preserve">Consolidated_View</t>
  </si>
  <si>
    <t xml:space="preserve">6. CRA rationale (after own view only)</t>
  </si>
  <si>
    <t xml:space="preserve">Strengths, weaknesses, rating sensitivities, liquidity view</t>
  </si>
  <si>
    <t xml:space="preserve">Not consulted yet - deliberately, per integrity rule</t>
  </si>
  <si>
    <t xml:space="preserve">To be read only after the independent assessment and lending decision are finished, and used only for the one-page comparison.</t>
  </si>
  <si>
    <t xml:space="preserve">Tests own judgement against the agency's view; not a source for copying.</t>
  </si>
  <si>
    <t xml:space="preserve">Later stage</t>
  </si>
  <si>
    <t xml:space="preserve">Workbook legend</t>
  </si>
  <si>
    <t xml:space="preserve">Blue text</t>
  </si>
  <si>
    <t xml:space="preserve">Hard-coded input copied from the annual report (source given beside it)</t>
  </si>
  <si>
    <t xml:space="preserve">Black text</t>
  </si>
  <si>
    <t xml:space="preserve">Formula / calculation</t>
  </si>
  <si>
    <t xml:space="preserve">Green text</t>
  </si>
  <si>
    <t xml:space="preserve">Link pulled from another sheet</t>
  </si>
  <si>
    <t xml:space="preserve">Check rows</t>
  </si>
  <si>
    <t xml:space="preserve">Rows labelled 'Check' should show '-' (zero); they tie extracted numbers back to report totals</t>
  </si>
  <si>
    <t xml:space="preserve">Sheets</t>
  </si>
  <si>
    <t xml:space="preserve">Financials</t>
  </si>
  <si>
    <t xml:space="preserve">Three-year extracted P&amp;L, balance sheet, cash flow, finance-cost break-up, adjustments and memo items</t>
  </si>
  <si>
    <t xml:space="preserve">Ratios</t>
  </si>
  <si>
    <t xml:space="preserve">Profitability, leverage, coverage, cash-flow, liquidity, working-capital and off-balance-sheet ratios with trend flags</t>
  </si>
  <si>
    <t xml:space="preserve">Debt_Analysis</t>
  </si>
  <si>
    <t xml:space="preserve">Borrowings by instrument, debt mix, maturity bands, liquidity cover, contingent liabilities, FX, FY26 repayment schedule</t>
  </si>
  <si>
    <t xml:space="preserve">Why standalone is used - group borrowings dominated by the NBFC subsidiary</t>
  </si>
  <si>
    <t xml:space="preserve">Ashok Leyland Limited - Standalone Financial Data Extracted (₹ crore)</t>
  </si>
  <si>
    <t xml:space="preserve">Blue = hard-coded input taken from the annual report; Black = formula. FY24 figures are the comparatives reported in the FY25 annual report (checked against the FY24 annual report, no restatement). FY25 figures are the comparatives in the FY26 annual report.</t>
  </si>
  <si>
    <t xml:space="preserve">Particulars (₹ crore)</t>
  </si>
  <si>
    <t xml:space="preserve">FY24</t>
  </si>
  <si>
    <t xml:space="preserve">FY25</t>
  </si>
  <si>
    <t xml:space="preserve">FY26</t>
  </si>
  <si>
    <t xml:space="preserve">Source (Annual Report, Note, printed page)</t>
  </si>
  <si>
    <t xml:space="preserve">A. STATEMENT OF PROFIT AND LOSS</t>
  </si>
  <si>
    <t xml:space="preserve">Revenue from operations</t>
  </si>
  <si>
    <t xml:space="preserve">Statement of P&amp;L - FY26 AR p.123; FY25 AR p.113; FY24 AR p.117</t>
  </si>
  <si>
    <t xml:space="preserve">Other income</t>
  </si>
  <si>
    <t xml:space="preserve">Statement of P&amp;L (Note 2.2)</t>
  </si>
  <si>
    <t xml:space="preserve">Cost of materials and services consumed</t>
  </si>
  <si>
    <t xml:space="preserve">Statement of P&amp;L</t>
  </si>
  <si>
    <t xml:space="preserve">Purchases of stock-in-trade</t>
  </si>
  <si>
    <t xml:space="preserve">Changes in inventories of FG, SIT and WIP</t>
  </si>
  <si>
    <t xml:space="preserve">Statement of P&amp;L (Note 2.3)</t>
  </si>
  <si>
    <t xml:space="preserve">Cost of goods sold (sum of above three)</t>
  </si>
  <si>
    <t xml:space="preserve">Employee benefits expense</t>
  </si>
  <si>
    <t xml:space="preserve">Statement of P&amp;L (Note 2.4)</t>
  </si>
  <si>
    <t xml:space="preserve">Other expenses</t>
  </si>
  <si>
    <t xml:space="preserve">Statement of P&amp;L (Note 2.7)</t>
  </si>
  <si>
    <t xml:space="preserve">Finance costs (as reported)</t>
  </si>
  <si>
    <t xml:space="preserve">Statement of P&amp;L (Note 2.5) - FY26 AR p.169; FY25 AR p.158</t>
  </si>
  <si>
    <t xml:space="preserve">Depreciation and amortisation expense</t>
  </si>
  <si>
    <t xml:space="preserve">Statement of P&amp;L (Note 2.6)</t>
  </si>
  <si>
    <t xml:space="preserve">Profit before exceptional items and tax</t>
  </si>
  <si>
    <t xml:space="preserve">Exceptional items</t>
  </si>
  <si>
    <t xml:space="preserve">Note 2.8 - FY26: labour-code impact (308.48) + litigation (40.00); FY25: fair-value gain on Hinduja Energy 120.53 - FY26 AR p.172; FY25 AR p.160</t>
  </si>
  <si>
    <t xml:space="preserve">Profit before tax</t>
  </si>
  <si>
    <t xml:space="preserve">Total tax expense</t>
  </si>
  <si>
    <t xml:space="preserve">Profit for the year (PAT)</t>
  </si>
  <si>
    <t xml:space="preserve">B. DERIVED EARNINGS MEASURES (formulas)</t>
  </si>
  <si>
    <t xml:space="preserve">EBITDA (Revenue - COGS - Employee - Other expenses; excludes other income)</t>
  </si>
  <si>
    <t xml:space="preserve">Operating EBITDA - other income excluded to keep treasury income out of debt-servicing capacity</t>
  </si>
  <si>
    <t xml:space="preserve">EBITDA including other income</t>
  </si>
  <si>
    <t xml:space="preserve">EBIT (EBITDA - D&amp;A)</t>
  </si>
  <si>
    <t xml:space="preserve">Check: EBITDA + OI - D&amp;A - FC should equal PBT before exceptional (0 = OK)</t>
  </si>
  <si>
    <t xml:space="preserve">C. FINANCE COST BREAK-UP (Note 2.5)</t>
  </si>
  <si>
    <t xml:space="preserve">Interest expense (gross, before capitalisation)</t>
  </si>
  <si>
    <t xml:space="preserve">Note 2.5 - FY26 AR p.169; FY25 AR p.158</t>
  </si>
  <si>
    <t xml:space="preserve">Less: interest capitalised</t>
  </si>
  <si>
    <t xml:space="preserve">Note 2.5</t>
  </si>
  <si>
    <t xml:space="preserve">Unwinding of discount on provisions (non-cash)</t>
  </si>
  <si>
    <t xml:space="preserve">Note 2.5 - relates to warranty/other provisions, not debt</t>
  </si>
  <si>
    <t xml:space="preserve">Interest on lease liability</t>
  </si>
  <si>
    <t xml:space="preserve">Check: break-up less reported finance cost (0 = OK)</t>
  </si>
  <si>
    <t xml:space="preserve">D. BALANCE SHEET (as at 31 March)</t>
  </si>
  <si>
    <t xml:space="preserve">Property, plant and equipment</t>
  </si>
  <si>
    <t xml:space="preserve">Balance Sheet - FY26 AR p.122; FY25 AR p.112; FY24 AR p.116</t>
  </si>
  <si>
    <t xml:space="preserve">Capital work-in-progress</t>
  </si>
  <si>
    <t xml:space="preserve">Right-of-use asset</t>
  </si>
  <si>
    <t xml:space="preserve">Goodwill</t>
  </si>
  <si>
    <t xml:space="preserve">Other intangible assets</t>
  </si>
  <si>
    <t xml:space="preserve">Intangible assets under development</t>
  </si>
  <si>
    <t xml:space="preserve">Non-current investments (mainly subsidiaries/JVs incl. Hinduja Leyland Finance)</t>
  </si>
  <si>
    <t xml:space="preserve">Balance Sheet - FY26 AR p.122; FY25 AR p.112; FY24 AR p.116 (Note 1.3)</t>
  </si>
  <si>
    <t xml:space="preserve">Non-current trade receivables</t>
  </si>
  <si>
    <t xml:space="preserve">Non-current other financial assets</t>
  </si>
  <si>
    <t xml:space="preserve">Income tax assets (net)</t>
  </si>
  <si>
    <t xml:space="preserve">Other non-current assets</t>
  </si>
  <si>
    <t xml:space="preserve">Total non-current assets</t>
  </si>
  <si>
    <t xml:space="preserve">Inventories</t>
  </si>
  <si>
    <t xml:space="preserve">Current investments (liquid mutual funds)</t>
  </si>
  <si>
    <t xml:space="preserve">Balance Sheet - FY26 AR p.122; FY25 AR p.112; FY24 AR p.116 (Note 1.9)</t>
  </si>
  <si>
    <t xml:space="preserve">Trade receivables</t>
  </si>
  <si>
    <t xml:space="preserve">Cash and cash equivalents</t>
  </si>
  <si>
    <t xml:space="preserve">Bank balances other than cash and cash equivalents</t>
  </si>
  <si>
    <t xml:space="preserve">Balance Sheet - FY26 AR p.122; FY25 AR p.112; FY24 AR p.116 (Note 1.11B)</t>
  </si>
  <si>
    <t xml:space="preserve">Current loans</t>
  </si>
  <si>
    <t xml:space="preserve">Other current financial assets</t>
  </si>
  <si>
    <t xml:space="preserve">Other current assets</t>
  </si>
  <si>
    <t xml:space="preserve">Total current assets</t>
  </si>
  <si>
    <t xml:space="preserve">Assets classified as held for sale</t>
  </si>
  <si>
    <t xml:space="preserve">TOTAL ASSETS</t>
  </si>
  <si>
    <t xml:space="preserve">Equity share capital</t>
  </si>
  <si>
    <t xml:space="preserve">Balance Sheet - FY26 AR p.122; FY25 AR p.112; FY24 AR p.116 (FY26: 1:1 bonus issue)</t>
  </si>
  <si>
    <t xml:space="preserve">Other equity</t>
  </si>
  <si>
    <t xml:space="preserve">Total equity (Net worth)</t>
  </si>
  <si>
    <t xml:space="preserve">Non-current borrowings</t>
  </si>
  <si>
    <t xml:space="preserve">Balance Sheet - FY26 AR p.122; FY25 AR p.112; FY24 AR p.116 (Note 1.16)</t>
  </si>
  <si>
    <t xml:space="preserve">Non-current lease liabilities</t>
  </si>
  <si>
    <t xml:space="preserve">Non-current other financial liabilities</t>
  </si>
  <si>
    <t xml:space="preserve">Non-current contract liabilities</t>
  </si>
  <si>
    <t xml:space="preserve">Non-current provisions</t>
  </si>
  <si>
    <t xml:space="preserve">Deferred tax liabilities (net)</t>
  </si>
  <si>
    <t xml:space="preserve">Total non-current liabilities</t>
  </si>
  <si>
    <t xml:space="preserve">Current borrowings (incl. current maturities of long-term debt)</t>
  </si>
  <si>
    <t xml:space="preserve">Balance Sheet - FY26 AR p.122; FY25 AR p.112; FY24 AR p.116 (Note 1.21)</t>
  </si>
  <si>
    <t xml:space="preserve">Current lease liabilities</t>
  </si>
  <si>
    <t xml:space="preserve">Trade payables - MSME</t>
  </si>
  <si>
    <t xml:space="preserve">Trade payables - others</t>
  </si>
  <si>
    <t xml:space="preserve">Other current financial liabilities</t>
  </si>
  <si>
    <t xml:space="preserve">Balance Sheet - FY26 AR p.122; FY25 AR p.112; FY24 AR p.116 (Note 1.23) - FY24 includes ₹1,453.48 cr interim dividend payable</t>
  </si>
  <si>
    <t xml:space="preserve">Current contract liabilities</t>
  </si>
  <si>
    <t xml:space="preserve">Current provisions</t>
  </si>
  <si>
    <t xml:space="preserve">Other current liabilities</t>
  </si>
  <si>
    <t xml:space="preserve">Current tax liabilities (net)</t>
  </si>
  <si>
    <t xml:space="preserve">Total current liabilities</t>
  </si>
  <si>
    <t xml:space="preserve">Liabilities associated with assets held for sale</t>
  </si>
  <si>
    <t xml:space="preserve">TOTAL EQUITY AND LIABILITIES</t>
  </si>
  <si>
    <t xml:space="preserve">Check: Total assets - Total equity &amp; liabilities (0 = OK)</t>
  </si>
  <si>
    <t xml:space="preserve">E. ADJUSTMENTS FROM NOTES</t>
  </si>
  <si>
    <t xml:space="preserve">Earmarked bank balances (unclaimed/unpaid dividend, escrow) - not free liquidity</t>
  </si>
  <si>
    <t xml:space="preserve">Note 1.11B - FY26 AR p.157; FY25 AR p.146 (FY24: incl. ₹1,453.48 cr interim-dividend account)</t>
  </si>
  <si>
    <t xml:space="preserve">Total trade payables</t>
  </si>
  <si>
    <t xml:space="preserve">Total lease liabilities</t>
  </si>
  <si>
    <t xml:space="preserve">Total borrowings (non-current + current)</t>
  </si>
  <si>
    <t xml:space="preserve">Total debt incl. lease liabilities</t>
  </si>
  <si>
    <t xml:space="preserve">Unencumbered cash &amp; liquid investments</t>
  </si>
  <si>
    <t xml:space="preserve">Cash + current investments + other bank balances - earmarked balances</t>
  </si>
  <si>
    <t xml:space="preserve">Tangible net worth (Equity - goodwill - intangibles - IAUD)</t>
  </si>
  <si>
    <t xml:space="preserve">Total outside liabilities (Total assets - Equity)</t>
  </si>
  <si>
    <t xml:space="preserve">F. CASH FLOW STATEMENT</t>
  </si>
  <si>
    <t xml:space="preserve">Net cash from operating activities (CFO, as reported)</t>
  </si>
  <si>
    <t xml:space="preserve">Cash Flow Statement - FY26 AR p.124-125; FY25 AR p.114-115; FY24 AR p.118-119</t>
  </si>
  <si>
    <t xml:space="preserve">of which: movement in interim-dividend designated bank account</t>
  </si>
  <si>
    <t xml:space="preserve">Cash Flow Statement - FY26 AR p.124-125; FY25 AR p.114-115; FY24 AR p.118-119 - one-off timing item (FY24 dividend paid in FY25)</t>
  </si>
  <si>
    <t xml:space="preserve">Adjusted CFO (excluding dividend-account movement)</t>
  </si>
  <si>
    <t xml:space="preserve">Income tax paid (net)</t>
  </si>
  <si>
    <t xml:space="preserve">Capex - purchase of PPE and intangible assets</t>
  </si>
  <si>
    <t xml:space="preserve">Proceeds from sale of PPE</t>
  </si>
  <si>
    <t xml:space="preserve">Proceeds from non-current borrowings</t>
  </si>
  <si>
    <t xml:space="preserve">Repayments of non-current borrowings</t>
  </si>
  <si>
    <t xml:space="preserve">Proceeds from current borrowings</t>
  </si>
  <si>
    <t xml:space="preserve">Repayments of current borrowings</t>
  </si>
  <si>
    <t xml:space="preserve">Payment of lease liabilities</t>
  </si>
  <si>
    <t xml:space="preserve">Interest paid</t>
  </si>
  <si>
    <t xml:space="preserve">Dividend paid</t>
  </si>
  <si>
    <t xml:space="preserve">Net cash from / (used in) investing activities</t>
  </si>
  <si>
    <t xml:space="preserve">Net cash used in financing activities</t>
  </si>
  <si>
    <t xml:space="preserve">G. MEMO ITEMS</t>
  </si>
  <si>
    <t xml:space="preserve">Revenue from operations - previous year (for growth)</t>
  </si>
  <si>
    <t xml:space="preserve">FY23 revenue from FY24 AR p.117; others from P&amp;L above</t>
  </si>
  <si>
    <t xml:space="preserve">M&amp;HCV (bus + truck) domestic market share</t>
  </si>
  <si>
    <t xml:space="preserve">MD&amp;A - FY24 AR p.60-61; FY25 AR p.48-49; FY26 AR p.54</t>
  </si>
  <si>
    <t xml:space="preserve">Undrawn committed bank lines (secured + unsecured)</t>
  </si>
  <si>
    <t xml:space="preserve">Note 3.6 Liquidity risk - FY26 AR p.187; FY25 AR p.175 (plus ₹2,000 cr CP option each year)</t>
  </si>
  <si>
    <t xml:space="preserve">Contingent liabilities - claims not acknowledged as debt</t>
  </si>
  <si>
    <t xml:space="preserve">Note 3.9 - FY26 AR p.200; FY25 AR p.188 (component detail in Debt_Analysis)</t>
  </si>
  <si>
    <t xml:space="preserve">Corporate guarantees given for loans of subsidiaries/JV</t>
  </si>
  <si>
    <t xml:space="preserve">Note 3.9.2 - FY26 AR p.201; FY25 AR p.189</t>
  </si>
  <si>
    <t xml:space="preserve">Capital commitments (net of advances)</t>
  </si>
  <si>
    <t xml:space="preserve">Note 3.10 - FY26 AR p.201; FY25 AR p.189</t>
  </si>
  <si>
    <t xml:space="preserve">Ashok Leyland Limited - Credit Ratios (Standalone, FY24-FY26)</t>
  </si>
  <si>
    <t xml:space="preserve">All cells are formulas linked to the 'Financials' and 'Debt_Analysis' sheets. 'Trend' compares FY26 with FY24: movement within ±2% is 'Stable'; direction judged against the 'Better if' column. Negative net debt = net cash.</t>
  </si>
  <si>
    <t xml:space="preserve">Ratio</t>
  </si>
  <si>
    <t xml:space="preserve">Better if</t>
  </si>
  <si>
    <t xml:space="preserve">Trend FY24→FY26</t>
  </si>
  <si>
    <t xml:space="preserve">Definition / formula used</t>
  </si>
  <si>
    <t xml:space="preserve">1. SCALE &amp; PROFITABILITY</t>
  </si>
  <si>
    <t xml:space="preserve">Revenue from operations (₹ cr)</t>
  </si>
  <si>
    <t xml:space="preserve">Higher</t>
  </si>
  <si>
    <t xml:space="preserve">Revenue growth (YoY)</t>
  </si>
  <si>
    <t xml:space="preserve">Revenue / previous-year revenue - 1</t>
  </si>
  <si>
    <t xml:space="preserve">EBITDA (₹ cr)</t>
  </si>
  <si>
    <t xml:space="preserve">Revenue - COGS - employee cost - other expenses</t>
  </si>
  <si>
    <t xml:space="preserve">EBITDA margin</t>
  </si>
  <si>
    <t xml:space="preserve">EBITDA / Revenue</t>
  </si>
  <si>
    <t xml:space="preserve">PAT (₹ cr)</t>
  </si>
  <si>
    <t xml:space="preserve">Profit for the year</t>
  </si>
  <si>
    <t xml:space="preserve">PAT margin</t>
  </si>
  <si>
    <t xml:space="preserve">PAT / Revenue</t>
  </si>
  <si>
    <t xml:space="preserve">ROCE (pre-tax)</t>
  </si>
  <si>
    <t xml:space="preserve">EBIT / (Net worth + Total debt), year-end</t>
  </si>
  <si>
    <t xml:space="preserve">ROE</t>
  </si>
  <si>
    <t xml:space="preserve">PAT / Year-end net worth</t>
  </si>
  <si>
    <t xml:space="preserve">2. LEVERAGE &amp; CAPITAL STRUCTURE</t>
  </si>
  <si>
    <t xml:space="preserve">Total debt incl. leases (₹ cr)</t>
  </si>
  <si>
    <t xml:space="preserve">Lower</t>
  </si>
  <si>
    <t xml:space="preserve">Borrowings (NC + current) + lease liabilities</t>
  </si>
  <si>
    <t xml:space="preserve">Net debt / (net cash) (₹ cr)</t>
  </si>
  <si>
    <t xml:space="preserve">Total debt - unencumbered cash &amp; liquid investments</t>
  </si>
  <si>
    <t xml:space="preserve">Total debt / Equity</t>
  </si>
  <si>
    <t xml:space="preserve">Total debt / Net worth (matches company's own disclosed ratio: 0.26 / 0.13 / 0.09)</t>
  </si>
  <si>
    <t xml:space="preserve">Total debt / Tangible net worth</t>
  </si>
  <si>
    <t xml:space="preserve">Total debt / TNW</t>
  </si>
  <si>
    <t xml:space="preserve">Net debt / Equity</t>
  </si>
  <si>
    <t xml:space="preserve">Negative value = net cash position</t>
  </si>
  <si>
    <t xml:space="preserve">TOL / TNW</t>
  </si>
  <si>
    <t xml:space="preserve">Total outside liabilities / Tangible net worth (bank-style gearing)</t>
  </si>
  <si>
    <t xml:space="preserve">Total debt / EBITDA</t>
  </si>
  <si>
    <t xml:space="preserve">Years of EBITDA needed to repay gross debt</t>
  </si>
  <si>
    <t xml:space="preserve">Net debt / EBITDA</t>
  </si>
  <si>
    <t xml:space="preserve">Negative = cash exceeds debt</t>
  </si>
  <si>
    <t xml:space="preserve">3. DEBT SERVICING / COVERAGE</t>
  </si>
  <si>
    <t xml:space="preserve">Interest coverage (EBITDA / Finance cost)</t>
  </si>
  <si>
    <t xml:space="preserve">Uses reported finance cost, which includes non-cash unwinding of discount on provisions (conservative)</t>
  </si>
  <si>
    <t xml:space="preserve">EBITDA / Interest on borrowings</t>
  </si>
  <si>
    <t xml:space="preserve">EBITDA / gross interest expense on borrowings (before capitalisation)</t>
  </si>
  <si>
    <t xml:space="preserve">EBIT / Finance cost</t>
  </si>
  <si>
    <t xml:space="preserve">EBIT / reported finance cost</t>
  </si>
  <si>
    <t xml:space="preserve">DSCR (cash basis)</t>
  </si>
  <si>
    <t xml:space="preserve">(EBITDA - tax paid) / (interest paid + long-term principal repaid + lease payments)</t>
  </si>
  <si>
    <t xml:space="preserve">4. CASH FLOW</t>
  </si>
  <si>
    <t xml:space="preserve">CFO as reported (₹ cr)</t>
  </si>
  <si>
    <t xml:space="preserve">Cash flow statement</t>
  </si>
  <si>
    <t xml:space="preserve">Adjusted CFO (₹ cr)</t>
  </si>
  <si>
    <t xml:space="preserve">CFO excluding ₹1,453 cr interim-dividend account timing swing (FY24/FY25)</t>
  </si>
  <si>
    <t xml:space="preserve">Adjusted CFO / Total debt</t>
  </si>
  <si>
    <t xml:space="preserve">Capex (₹ cr)</t>
  </si>
  <si>
    <t xml:space="preserve">n.a.</t>
  </si>
  <si>
    <t xml:space="preserve">Purchase of PPE and intangibles</t>
  </si>
  <si>
    <t xml:space="preserve">Capex / Revenue</t>
  </si>
  <si>
    <t xml:space="preserve">Capital intensity</t>
  </si>
  <si>
    <t xml:space="preserve">Capex / D&amp;A</t>
  </si>
  <si>
    <t xml:space="preserve">&gt;1x means asset base is being expanded, not just maintained</t>
  </si>
  <si>
    <t xml:space="preserve">Free cash flow (Adj. CFO - Capex) (₹ cr)</t>
  </si>
  <si>
    <t xml:space="preserve">Adjusted CFO - capex</t>
  </si>
  <si>
    <t xml:space="preserve">FCF after dividends (₹ cr)</t>
  </si>
  <si>
    <t xml:space="preserve">FCF - dividends paid; negative = payouts funded from cash/borrowing</t>
  </si>
  <si>
    <t xml:space="preserve">Dividend paid / PAT</t>
  </si>
  <si>
    <t xml:space="preserve">Cash dividend (incl. FY24 interim paid in FY25) / PAT</t>
  </si>
  <si>
    <t xml:space="preserve">5. LIQUIDITY</t>
  </si>
  <si>
    <t xml:space="preserve">Current ratio</t>
  </si>
  <si>
    <t xml:space="preserve">Current assets / current liabilities</t>
  </si>
  <si>
    <t xml:space="preserve">Quick ratio</t>
  </si>
  <si>
    <t xml:space="preserve">(Current assets - inventory) / current liabilities</t>
  </si>
  <si>
    <t xml:space="preserve">Cash ratio</t>
  </si>
  <si>
    <t xml:space="preserve">Unencumbered cash &amp; liquid investments / current liabilities</t>
  </si>
  <si>
    <t xml:space="preserve">Unencumbered cash &amp; liquid investments (₹ cr)</t>
  </si>
  <si>
    <t xml:space="preserve">See Financials section E</t>
  </si>
  <si>
    <t xml:space="preserve">Liquidity cover of borrowings due in 12 months</t>
  </si>
  <si>
    <t xml:space="preserve">(Unencumbered cash &amp; liquid inv. + undrawn lines) / contractual borrowing outflow due within 1 year</t>
  </si>
  <si>
    <t xml:space="preserve">6. WORKING CAPITAL (year-end balances)</t>
  </si>
  <si>
    <t xml:space="preserve">Inventory days</t>
  </si>
  <si>
    <t xml:space="preserve">Inventory / COGS x 365</t>
  </si>
  <si>
    <t xml:space="preserve">Receivable days</t>
  </si>
  <si>
    <t xml:space="preserve">Trade receivables / Revenue x 365</t>
  </si>
  <si>
    <t xml:space="preserve">Payable days</t>
  </si>
  <si>
    <t xml:space="preserve">Trade payables / COGS x 365</t>
  </si>
  <si>
    <t xml:space="preserve">Cash conversion cycle</t>
  </si>
  <si>
    <t xml:space="preserve">Inventory days + receivable days - payable days</t>
  </si>
  <si>
    <t xml:space="preserve">7. OFF-BALANCE SHEET &amp; GROUP EXPOSURE</t>
  </si>
  <si>
    <t xml:space="preserve">Contingent liabilities / Net worth</t>
  </si>
  <si>
    <t xml:space="preserve">Claims not acknowledged as debt / Net worth</t>
  </si>
  <si>
    <t xml:space="preserve">Corporate guarantees for group cos / Net worth</t>
  </si>
  <si>
    <t xml:space="preserve">Guarantees for subsidiaries' loans / Net worth</t>
  </si>
  <si>
    <t xml:space="preserve">Non-current (group) investments / Net worth</t>
  </si>
  <si>
    <t xml:space="preserve">Capital locked in subsidiaries/JVs (HLF, Switch, Optare etc.) relative to net worth</t>
  </si>
  <si>
    <t xml:space="preserve">Debt + guarantees / Equity</t>
  </si>
  <si>
    <t xml:space="preserve">Stress view: treats guarantees for subsidiaries as debt</t>
  </si>
  <si>
    <t xml:space="preserve">Ashok Leyland Limited - Debt Composition, Maturity &amp; Financial Risk (Standalone, ₹ crore)</t>
  </si>
  <si>
    <t xml:space="preserve">Blue = input from notes to accounts; Black = formula; Green = link to 'Financials' sheet.</t>
  </si>
  <si>
    <t xml:space="preserve">Source / comment</t>
  </si>
  <si>
    <t xml:space="preserve">A. BORROWINGS BY INSTRUMENT (carrying value)</t>
  </si>
  <si>
    <t xml:space="preserve">Secured term loans from banks (non-current portion)</t>
  </si>
  <si>
    <t xml:space="preserve">Note 1.16 - FY26 AR p.161; FY25 AR p.151</t>
  </si>
  <si>
    <t xml:space="preserve">Secured SIPCOT soft loan (non-current portion)</t>
  </si>
  <si>
    <t xml:space="preserve">Note 1.16 - FY26 AR p.161; FY25 AR p.151 - fully repaid Jul-2025</t>
  </si>
  <si>
    <t xml:space="preserve">Secured NCDs - 7.30% AL 2027 (non-current portion)</t>
  </si>
  <si>
    <t xml:space="preserve">Note 1.16 - FY26 AR p.161; FY25 AR p.151 - moved to current in FY26 (bullet 17-Mar-2027)</t>
  </si>
  <si>
    <t xml:space="preserve">Unsecured ECB from banks (non-current portion)</t>
  </si>
  <si>
    <t xml:space="preserve">Note 1.16 - FY26 AR p.161; FY25 AR p.151 - ECB-16 fully repaid Nov-2025</t>
  </si>
  <si>
    <t xml:space="preserve">Unsecured interest-free sales tax loans (non-current)</t>
  </si>
  <si>
    <t xml:space="preserve">Note 1.16 - FY26 AR p.161; FY25 AR p.151 - ends June 2028</t>
  </si>
  <si>
    <t xml:space="preserve">Secured short-term loans from banks</t>
  </si>
  <si>
    <t xml:space="preserve">Note 1.21 - FY26 AR p.163; FY25 AR p.153</t>
  </si>
  <si>
    <t xml:space="preserve">Secured bills discounted</t>
  </si>
  <si>
    <t xml:space="preserve">Unsecured short-term loans from banks</t>
  </si>
  <si>
    <t xml:space="preserve">Note 1.21 - FY26 AR p.163; FY25 AR p.153 - FY26: STL-29 @6.30%, due 25-Jun-2026 (Note 3.12)</t>
  </si>
  <si>
    <t xml:space="preserve">Unsecured bills discounted</t>
  </si>
  <si>
    <t xml:space="preserve">Current maturities of long-term debt - secured</t>
  </si>
  <si>
    <t xml:space="preserve">Current maturities of long-term debt - unsecured</t>
  </si>
  <si>
    <t xml:space="preserve">Current borrowings</t>
  </si>
  <si>
    <t xml:space="preserve">Total borrowings</t>
  </si>
  <si>
    <t xml:space="preserve">Check vs Balance Sheet total borrowings (0 = OK)</t>
  </si>
  <si>
    <t xml:space="preserve">Add: lease liabilities</t>
  </si>
  <si>
    <t xml:space="preserve">Total debt incl. leases</t>
  </si>
  <si>
    <t xml:space="preserve">Company-reported debt (capital-management note)</t>
  </si>
  <si>
    <t xml:space="preserve">Note 3.6.1 - FY26 AR p.183; FY25 AR p.171</t>
  </si>
  <si>
    <t xml:space="preserve">Check: our total debt - company-reported debt (0 = OK)</t>
  </si>
  <si>
    <t xml:space="preserve">B. DEBT MIX</t>
  </si>
  <si>
    <t xml:space="preserve">Secured borrowings</t>
  </si>
  <si>
    <t xml:space="preserve">Unsecured borrowings</t>
  </si>
  <si>
    <t xml:space="preserve">Secured share of borrowings</t>
  </si>
  <si>
    <t xml:space="preserve">Short-term debt (working-capital loans + bills)</t>
  </si>
  <si>
    <t xml:space="preserve">Short-term debt share of borrowings</t>
  </si>
  <si>
    <t xml:space="preserve">Variable-rate borrowings (principal)</t>
  </si>
  <si>
    <t xml:space="preserve">Note 3.6.2(2) Interest-rate risk - FY26 AR p.186; FY25 AR p.174</t>
  </si>
  <si>
    <t xml:space="preserve">Fixed-rate borrowings (principal, incl. swapped)</t>
  </si>
  <si>
    <t xml:space="preserve">Note 3.6.2(2) - FY24 incl. ₹389.95 cr, FY25 ₹57.76 cr swapped to fixed</t>
  </si>
  <si>
    <t xml:space="preserve">Floating-rate share</t>
  </si>
  <si>
    <t xml:space="preserve">Profit impact of +/-25 bp rate move (₹ cr, as disclosed)</t>
  </si>
  <si>
    <t xml:space="preserve">Note 3.6.2(2)</t>
  </si>
  <si>
    <t xml:space="preserve">Weighted avg. interest rate - long-term loans</t>
  </si>
  <si>
    <t xml:space="preserve">Note 3.11 - FY26 AR p.203; FY25 AR p.190; FY24 AR p.189</t>
  </si>
  <si>
    <t xml:space="preserve">Weighted avg. interest rate - short-term borrowings</t>
  </si>
  <si>
    <t xml:space="preserve">Note 3.12</t>
  </si>
  <si>
    <t xml:space="preserve">Implied cost: gross interest / average total borrowings</t>
  </si>
  <si>
    <t xml:space="preserve">FY24 uses FY23 closing borrowings (₹3,180.10 cr, FY24 AR p.116) - see row below</t>
  </si>
  <si>
    <t xml:space="preserve">C. CONTRACTUAL MATURITY PROFILE (undiscounted cash flows incl. interest)</t>
  </si>
  <si>
    <t xml:space="preserve">Borrowings due within 1 year</t>
  </si>
  <si>
    <t xml:space="preserve">Note 3.6.2(C) Liquidity risk - FY26 AR p.188; FY25 AR p.176; FY24 AR p.176</t>
  </si>
  <si>
    <t xml:space="preserve">Borrowings due in years 2-5</t>
  </si>
  <si>
    <t xml:space="preserve">Borrowings due after 5 years</t>
  </si>
  <si>
    <t xml:space="preserve">Total contractual borrowing outflows</t>
  </si>
  <si>
    <t xml:space="preserve">Lease payments due within 1 year</t>
  </si>
  <si>
    <t xml:space="preserve">Lease payments due in years 2-5</t>
  </si>
  <si>
    <t xml:space="preserve">Lease payments due after 5 years</t>
  </si>
  <si>
    <t xml:space="preserve">% of borrowing outflows due within 1 year</t>
  </si>
  <si>
    <t xml:space="preserve">% due in years 2-5</t>
  </si>
  <si>
    <t xml:space="preserve">% due after 5 years</t>
  </si>
  <si>
    <t xml:space="preserve">D. REFINANCING &amp; LIQUIDITY COVER</t>
  </si>
  <si>
    <t xml:space="preserve">Undrawn committed bank lines</t>
  </si>
  <si>
    <t xml:space="preserve">Commercial paper programme headroom (not counted in cover ratios)</t>
  </si>
  <si>
    <t xml:space="preserve">Note 3.6.2(C)</t>
  </si>
  <si>
    <t xml:space="preserve">Cash &amp; liquid investments / debt due in 1 yr</t>
  </si>
  <si>
    <t xml:space="preserve">(Cash + undrawn lines) / debt due in 1 yr</t>
  </si>
  <si>
    <t xml:space="preserve">Adjusted CFO / debt due in 1 yr</t>
  </si>
  <si>
    <t xml:space="preserve">Cash &amp; liquid investments / total debt</t>
  </si>
  <si>
    <t xml:space="preserve">Net debt / (net cash)</t>
  </si>
  <si>
    <t xml:space="preserve">E. DEBT MOVEMENT DURING THE YEAR (cash flow)</t>
  </si>
  <si>
    <t xml:space="preserve">Long-term borrowings raised</t>
  </si>
  <si>
    <t xml:space="preserve">Long-term borrowings repaid</t>
  </si>
  <si>
    <t xml:space="preserve">Short-term borrowings - net</t>
  </si>
  <si>
    <t xml:space="preserve">Net borrowing cash flow (negative = deleveraging)</t>
  </si>
  <si>
    <t xml:space="preserve">F. CONTINGENT LIABILITIES, GUARANTEES &amp; COMMITMENTS</t>
  </si>
  <si>
    <t xml:space="preserve">Sales tax / VAT / GST disputes</t>
  </si>
  <si>
    <t xml:space="preserve">Note 3.9 - FY26 AR p.200; FY25 AR p.188; FY24 AR p.187</t>
  </si>
  <si>
    <t xml:space="preserve">Excise duty</t>
  </si>
  <si>
    <t xml:space="preserve">Service tax</t>
  </si>
  <si>
    <t xml:space="preserve">Customs duty</t>
  </si>
  <si>
    <t xml:space="preserve">Others</t>
  </si>
  <si>
    <t xml:space="preserve">Total contingent liabilities</t>
  </si>
  <si>
    <t xml:space="preserve">Check vs Financials memo (0 = OK)</t>
  </si>
  <si>
    <t xml:space="preserve">Guarantee availed - Switch Mobility Ltd, UK</t>
  </si>
  <si>
    <t xml:space="preserve">Note 3.9.1 - FY26 AR p.201; FY25 AR p.189</t>
  </si>
  <si>
    <t xml:space="preserve">Guarantee availed - Albonair GmbH</t>
  </si>
  <si>
    <t xml:space="preserve">Note 3.9.1</t>
  </si>
  <si>
    <t xml:space="preserve">Guarantee availed - Optare plc, UK</t>
  </si>
  <si>
    <t xml:space="preserve">Guarantee availed - Ashley Alteams India Ltd</t>
  </si>
  <si>
    <t xml:space="preserve">Total guarantees availed (sum of above)</t>
  </si>
  <si>
    <t xml:space="preserve">Ties to value of corporate guarantees in Note 3.9.2 (see next row)</t>
  </si>
  <si>
    <t xml:space="preserve">Corporate guarantee value per Note 3.9.2</t>
  </si>
  <si>
    <t xml:space="preserve">Capital commitments</t>
  </si>
  <si>
    <t xml:space="preserve">Total off-balance-sheet exposure (CL + guarantees + capex commitments)</t>
  </si>
  <si>
    <t xml:space="preserve">Off-balance-sheet exposure / Net worth</t>
  </si>
  <si>
    <t xml:space="preserve">G. FOREIGN-CURRENCY EXPOSURE (monetary items, ₹ crore equivalent)</t>
  </si>
  <si>
    <t xml:space="preserve">Gross FX liabilities (all currencies)</t>
  </si>
  <si>
    <t xml:space="preserve">Note 3.6.2(1) - FY26 AR p.183-184; FY25 AR p.172 - sum of currency rows in note</t>
  </si>
  <si>
    <t xml:space="preserve">of which hedged with derivatives</t>
  </si>
  <si>
    <t xml:space="preserve">Note 3.6.2(1) - FY26 AR p.183-184; FY25 AR p.172</t>
  </si>
  <si>
    <t xml:space="preserve">Hedge ratio on FX liabilities</t>
  </si>
  <si>
    <t xml:space="preserve">Net overall USD exposure - net asset / (net liability)</t>
  </si>
  <si>
    <t xml:space="preserve">Net overall AED exposure</t>
  </si>
  <si>
    <t xml:space="preserve">Net overall exposure - EUR, GBP, JPY, SGD, others</t>
  </si>
  <si>
    <t xml:space="preserve">Note 3.6.2(1) - FY26 AR p.183-184; FY25 AR p.172 - aggregated</t>
  </si>
  <si>
    <t xml:space="preserve">Net overall FX exposure</t>
  </si>
  <si>
    <t xml:space="preserve">Impact of 2% INR move on net exposure (₹ cr)</t>
  </si>
  <si>
    <t xml:space="preserve">2% impact as % of PAT</t>
  </si>
  <si>
    <t xml:space="preserve">FY23 closing total borrowings (for FY24 average)</t>
  </si>
  <si>
    <t xml:space="preserve">FY24 AR p.116: NC borrowings 1,766.23 + current 1,413.87</t>
  </si>
  <si>
    <t xml:space="preserve">H. FY26 INSTRUMENT-WISE DEBT &amp; REPAYMENT TERMS (principal, Note 3.11 &amp; 3.12, FY26 AR p.202-203)</t>
  </si>
  <si>
    <t xml:space="preserve">Instrument</t>
  </si>
  <si>
    <t xml:space="preserve">Non-current</t>
  </si>
  <si>
    <t xml:space="preserve">Due FY27</t>
  </si>
  <si>
    <t xml:space="preserve">Total</t>
  </si>
  <si>
    <t xml:space="preserve">Repayment terms / security</t>
  </si>
  <si>
    <t xml:space="preserve">TL-12</t>
  </si>
  <si>
    <t xml:space="preserve">5 equal annual instalments from Sep-2022; charge on P&amp;M at Pantnagar - fully due FY27</t>
  </si>
  <si>
    <t xml:space="preserve">TL-15</t>
  </si>
  <si>
    <t xml:space="preserve">20 quarterly instalments (varying) from Jul-2023; exclusive charge Pantnagar &amp; Hosur (1.25x)</t>
  </si>
  <si>
    <t xml:space="preserve">TL-16</t>
  </si>
  <si>
    <t xml:space="preserve">5 equal annual instalments from Mar-2025; charge on P&amp;M Chennai &amp; Hosur</t>
  </si>
  <si>
    <t xml:space="preserve">TL-17</t>
  </si>
  <si>
    <t xml:space="preserve">12 semi-annual instalments (varying) from Sep-2022; charge on P&amp;M Hosur (1.10x)</t>
  </si>
  <si>
    <t xml:space="preserve">TL-18</t>
  </si>
  <si>
    <t xml:space="preserve">24 quarterly instalments (varying) from Sep-2025; exclusive charge on aircraft</t>
  </si>
  <si>
    <t xml:space="preserve">NCD Series 3 (7.30% AL 2027)</t>
  </si>
  <si>
    <t xml:space="preserve">Bullet 17-Mar-2027; charge on P&amp;M Hosur (1.10x); ₹100 cr FD kept for DRF</t>
  </si>
  <si>
    <t xml:space="preserve">Interest-free sales tax loan (Programme II)</t>
  </si>
  <si>
    <t xml:space="preserve">Varying periodic amounts ending June 2028; unsecured</t>
  </si>
  <si>
    <t xml:space="preserve">STL-29 (short-term, unsecured)</t>
  </si>
  <si>
    <t xml:space="preserve">Repayable 25-Jun-2026 @ 6.30%</t>
  </si>
  <si>
    <t xml:space="preserve">Total principal outstanding (31-Mar-2026)</t>
  </si>
  <si>
    <t xml:space="preserve">Principal due in FY27 as % of total principal</t>
  </si>
  <si>
    <t xml:space="preserve">Unencumbered cash &amp; liquid investments / FY27 principal</t>
  </si>
  <si>
    <t xml:space="preserve">Note: principal outstanding (₹1,152.04 cr) differs marginally from carrying value (₹1,151.70 cr) because carrying value is at amortised cost (EIR). Covenants (coverage, leverage, net worth, promoter holding, security cover, rating) complied with at 31-Mar-2026 (Note 1.16).</t>
  </si>
  <si>
    <t xml:space="preserve">Why the analysis uses STANDALONE numbers - consolidated snapshot (₹ crore)</t>
  </si>
  <si>
    <t xml:space="preserve">Consolidated accounts include Hinduja Leyland Finance (an NBFC subsidiary). Its lending book is funded by borrowings, which swamps the vehicle business's debt. The assignment excludes NBFC-style analysis, so the core credit view is on standalone Ashok Leyland; group exposure is captured through investments and guarantees.</t>
  </si>
  <si>
    <t xml:space="preserve">Particulars</t>
  </si>
  <si>
    <t xml:space="preserve">Revenue from operations (ex-financing income)</t>
  </si>
  <si>
    <t xml:space="preserve">Consolidated BS/P&amp;L - FY26 AR p.220-221; FY25 AR p.208-209</t>
  </si>
  <si>
    <t xml:space="preserve">Income from financing operations (HLF)</t>
  </si>
  <si>
    <t xml:space="preserve">Finance costs</t>
  </si>
  <si>
    <t xml:space="preserve">Profit for the year (incl. NCI)</t>
  </si>
  <si>
    <t xml:space="preserve">Total consolidated borrowings</t>
  </si>
  <si>
    <t xml:space="preserve">Formula</t>
  </si>
  <si>
    <t xml:space="preserve">Total equity (incl. NCI)</t>
  </si>
  <si>
    <t xml:space="preserve">Consolidated borrowings / Equity</t>
  </si>
  <si>
    <t xml:space="preserve">Standalone borrowings (for comparison)</t>
  </si>
  <si>
    <t xml:space="preserve">Link</t>
  </si>
  <si>
    <t xml:space="preserve">Standalone share of consolidated borrowings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</si>
</sst>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;\(0.0%\);\-"/>
    <numFmt numFmtId="167" formatCode="#,##0;\(#,##0\);\-"/>
    <numFmt numFmtId="168" formatCode="0.00\x;\(0.00&quot;x)&quot;;\-"/>
    <numFmt numFmtId="169" formatCode="0&quot; days&quot;;\(0&quot; days)&quot;;\-"/>
    <numFmt numFmtId="170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2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4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89.75" hidden="false" customHeight="true" outlineLevel="0" collapsed="false">
      <c r="A5" s="5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 customFormat="false" ht="189.75" hidden="false" customHeight="true" outlineLevel="0" collapsed="false">
      <c r="A6" s="5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</row>
    <row r="7" customFormat="false" ht="189.75" hidden="false" customHeight="true" outlineLevel="0" collapsed="false">
      <c r="A7" s="5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</row>
    <row r="8" customFormat="false" ht="189.75" hidden="false" customHeight="true" outlineLevel="0" collapsed="false">
      <c r="A8" s="5" t="s">
        <v>26</v>
      </c>
      <c r="B8" s="6" t="s">
        <v>27</v>
      </c>
      <c r="C8" s="6" t="s">
        <v>28</v>
      </c>
      <c r="D8" s="6" t="s">
        <v>29</v>
      </c>
      <c r="E8" s="6" t="s">
        <v>30</v>
      </c>
      <c r="F8" s="6" t="s">
        <v>31</v>
      </c>
    </row>
    <row r="9" customFormat="false" ht="189.75" hidden="false" customHeight="true" outlineLevel="0" collapsed="false">
      <c r="A9" s="5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F9" s="6" t="s">
        <v>37</v>
      </c>
    </row>
    <row r="10" customFormat="false" ht="189.75" hidden="false" customHeight="true" outlineLevel="0" collapsed="false">
      <c r="A10" s="5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6" t="s">
        <v>43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7" t="s">
        <v>44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8" t="s">
        <v>45</v>
      </c>
      <c r="B13" s="9" t="s">
        <v>46</v>
      </c>
      <c r="C13" s="9"/>
      <c r="D13" s="9"/>
      <c r="E13" s="9"/>
      <c r="F13" s="2"/>
    </row>
    <row r="14" customFormat="false" ht="15" hidden="false" customHeight="false" outlineLevel="0" collapsed="false">
      <c r="A14" s="10" t="s">
        <v>47</v>
      </c>
      <c r="B14" s="9" t="s">
        <v>48</v>
      </c>
      <c r="C14" s="9"/>
      <c r="D14" s="9"/>
      <c r="E14" s="9"/>
      <c r="F14" s="2"/>
    </row>
    <row r="15" customFormat="false" ht="15" hidden="false" customHeight="false" outlineLevel="0" collapsed="false">
      <c r="A15" s="11" t="s">
        <v>49</v>
      </c>
      <c r="B15" s="9" t="s">
        <v>50</v>
      </c>
      <c r="C15" s="9"/>
      <c r="D15" s="9"/>
      <c r="E15" s="9"/>
      <c r="F15" s="2"/>
    </row>
    <row r="16" customFormat="false" ht="15" hidden="false" customHeight="false" outlineLevel="0" collapsed="false">
      <c r="A16" s="10" t="s">
        <v>51</v>
      </c>
      <c r="B16" s="9" t="s">
        <v>52</v>
      </c>
      <c r="C16" s="9"/>
      <c r="D16" s="9"/>
      <c r="E16" s="9"/>
      <c r="F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7" t="s">
        <v>53</v>
      </c>
      <c r="B18" s="2"/>
      <c r="C18" s="2"/>
      <c r="D18" s="2"/>
      <c r="E18" s="2"/>
      <c r="F18" s="2"/>
    </row>
    <row r="19" customFormat="false" ht="15" hidden="false" customHeight="false" outlineLevel="0" collapsed="false">
      <c r="A19" s="12" t="s">
        <v>54</v>
      </c>
      <c r="B19" s="9" t="s">
        <v>55</v>
      </c>
      <c r="C19" s="9"/>
      <c r="D19" s="9"/>
      <c r="E19" s="9"/>
      <c r="F19" s="2"/>
    </row>
    <row r="20" customFormat="false" ht="15" hidden="false" customHeight="false" outlineLevel="0" collapsed="false">
      <c r="A20" s="12" t="s">
        <v>56</v>
      </c>
      <c r="B20" s="9" t="s">
        <v>57</v>
      </c>
      <c r="C20" s="9"/>
      <c r="D20" s="9"/>
      <c r="E20" s="9"/>
      <c r="F20" s="2"/>
    </row>
    <row r="21" customFormat="false" ht="15" hidden="false" customHeight="false" outlineLevel="0" collapsed="false">
      <c r="A21" s="12" t="s">
        <v>58</v>
      </c>
      <c r="B21" s="9" t="s">
        <v>59</v>
      </c>
      <c r="C21" s="9"/>
      <c r="D21" s="9"/>
      <c r="E21" s="9"/>
      <c r="F21" s="2"/>
    </row>
    <row r="22" customFormat="false" ht="15" hidden="false" customHeight="false" outlineLevel="0" collapsed="false">
      <c r="A22" s="12" t="s">
        <v>37</v>
      </c>
      <c r="B22" s="9" t="s">
        <v>60</v>
      </c>
      <c r="C22" s="9"/>
      <c r="D22" s="9"/>
      <c r="E22" s="9"/>
      <c r="F22" s="2"/>
    </row>
  </sheetData>
  <mergeCells count="9">
    <mergeCell ref="A2:F2"/>
    <mergeCell ref="B13:E13"/>
    <mergeCell ref="B14:E14"/>
    <mergeCell ref="B15:E15"/>
    <mergeCell ref="B16:E16"/>
    <mergeCell ref="B19:E19"/>
    <mergeCell ref="B20:E20"/>
    <mergeCell ref="B21:E21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61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62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/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</row>
    <row r="5" customFormat="false" ht="15" hidden="false" customHeight="false" outlineLevel="0" collapsed="false">
      <c r="A5" s="13" t="s">
        <v>68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2"/>
      <c r="B6" s="10" t="s">
        <v>69</v>
      </c>
      <c r="C6" s="15" t="n">
        <v>38367.03</v>
      </c>
      <c r="D6" s="15" t="n">
        <v>38752.74</v>
      </c>
      <c r="E6" s="15" t="n">
        <v>44007.03</v>
      </c>
      <c r="F6" s="16" t="s">
        <v>70</v>
      </c>
    </row>
    <row r="7" customFormat="false" ht="15" hidden="false" customHeight="false" outlineLevel="0" collapsed="false">
      <c r="A7" s="2"/>
      <c r="B7" s="10" t="s">
        <v>71</v>
      </c>
      <c r="C7" s="15" t="n">
        <v>246.57</v>
      </c>
      <c r="D7" s="15" t="n">
        <v>250.25</v>
      </c>
      <c r="E7" s="15" t="n">
        <v>315.17</v>
      </c>
      <c r="F7" s="16" t="s">
        <v>72</v>
      </c>
    </row>
    <row r="8" customFormat="false" ht="15" hidden="false" customHeight="false" outlineLevel="0" collapsed="false">
      <c r="A8" s="2"/>
      <c r="B8" s="10" t="s">
        <v>73</v>
      </c>
      <c r="C8" s="15" t="n">
        <v>26916.54</v>
      </c>
      <c r="D8" s="15" t="n">
        <v>25711.74</v>
      </c>
      <c r="E8" s="15" t="n">
        <v>29722.68</v>
      </c>
      <c r="F8" s="16" t="s">
        <v>74</v>
      </c>
    </row>
    <row r="9" customFormat="false" ht="15" hidden="false" customHeight="false" outlineLevel="0" collapsed="false">
      <c r="A9" s="2"/>
      <c r="B9" s="10" t="s">
        <v>75</v>
      </c>
      <c r="C9" s="15" t="n">
        <v>1506.41</v>
      </c>
      <c r="D9" s="15" t="n">
        <v>1680.46</v>
      </c>
      <c r="E9" s="15" t="n">
        <v>1805.39</v>
      </c>
      <c r="F9" s="16" t="s">
        <v>74</v>
      </c>
    </row>
    <row r="10" customFormat="false" ht="15" hidden="false" customHeight="false" outlineLevel="0" collapsed="false">
      <c r="A10" s="2"/>
      <c r="B10" s="10" t="s">
        <v>76</v>
      </c>
      <c r="C10" s="15" t="n">
        <v>-510.94</v>
      </c>
      <c r="D10" s="15" t="n">
        <v>230.58</v>
      </c>
      <c r="E10" s="15" t="n">
        <v>-110.93</v>
      </c>
      <c r="F10" s="16" t="s">
        <v>77</v>
      </c>
    </row>
    <row r="11" customFormat="false" ht="15" hidden="false" customHeight="false" outlineLevel="0" collapsed="false">
      <c r="A11" s="2"/>
      <c r="B11" s="12" t="s">
        <v>78</v>
      </c>
      <c r="C11" s="17" t="n">
        <f aca="false">SUM(C8:C10)</f>
        <v>27912.01</v>
      </c>
      <c r="D11" s="17" t="n">
        <f aca="false">SUM(D8:D10)</f>
        <v>27622.78</v>
      </c>
      <c r="E11" s="17" t="n">
        <f aca="false">SUM(E8:E10)</f>
        <v>31417.14</v>
      </c>
      <c r="F11" s="16"/>
    </row>
    <row r="12" customFormat="false" ht="15" hidden="false" customHeight="false" outlineLevel="0" collapsed="false">
      <c r="A12" s="2"/>
      <c r="B12" s="10" t="s">
        <v>79</v>
      </c>
      <c r="C12" s="15" t="n">
        <v>2233.38</v>
      </c>
      <c r="D12" s="15" t="n">
        <v>2406.27</v>
      </c>
      <c r="E12" s="15" t="n">
        <v>2606.69</v>
      </c>
      <c r="F12" s="16" t="s">
        <v>80</v>
      </c>
    </row>
    <row r="13" customFormat="false" ht="15" hidden="false" customHeight="false" outlineLevel="0" collapsed="false">
      <c r="A13" s="2"/>
      <c r="B13" s="10" t="s">
        <v>81</v>
      </c>
      <c r="C13" s="15" t="n">
        <v>3615.06</v>
      </c>
      <c r="D13" s="15" t="n">
        <v>3793.13</v>
      </c>
      <c r="E13" s="15" t="n">
        <v>4250.95</v>
      </c>
      <c r="F13" s="16" t="s">
        <v>82</v>
      </c>
    </row>
    <row r="14" customFormat="false" ht="15" hidden="false" customHeight="false" outlineLevel="0" collapsed="false">
      <c r="A14" s="2"/>
      <c r="B14" s="10" t="s">
        <v>83</v>
      </c>
      <c r="C14" s="15" t="n">
        <v>249.44</v>
      </c>
      <c r="D14" s="15" t="n">
        <v>216.91</v>
      </c>
      <c r="E14" s="15" t="n">
        <v>169.73</v>
      </c>
      <c r="F14" s="16" t="s">
        <v>84</v>
      </c>
    </row>
    <row r="15" customFormat="false" ht="15" hidden="false" customHeight="false" outlineLevel="0" collapsed="false">
      <c r="A15" s="2"/>
      <c r="B15" s="10" t="s">
        <v>85</v>
      </c>
      <c r="C15" s="15" t="n">
        <v>717.81</v>
      </c>
      <c r="D15" s="15" t="n">
        <v>719.34</v>
      </c>
      <c r="E15" s="15" t="n">
        <v>715.19</v>
      </c>
      <c r="F15" s="16" t="s">
        <v>86</v>
      </c>
    </row>
    <row r="16" customFormat="false" ht="15" hidden="false" customHeight="false" outlineLevel="0" collapsed="false">
      <c r="A16" s="2"/>
      <c r="B16" s="10" t="s">
        <v>87</v>
      </c>
      <c r="C16" s="15" t="n">
        <v>3885.9</v>
      </c>
      <c r="D16" s="15" t="n">
        <v>4244.56</v>
      </c>
      <c r="E16" s="15" t="n">
        <v>5162.5</v>
      </c>
      <c r="F16" s="16" t="s">
        <v>74</v>
      </c>
    </row>
    <row r="17" customFormat="false" ht="22.35" hidden="false" customHeight="false" outlineLevel="0" collapsed="false">
      <c r="A17" s="2"/>
      <c r="B17" s="10" t="s">
        <v>88</v>
      </c>
      <c r="C17" s="15" t="n">
        <v>-93.72</v>
      </c>
      <c r="D17" s="15" t="n">
        <v>103.73</v>
      </c>
      <c r="E17" s="15" t="n">
        <v>-348.48</v>
      </c>
      <c r="F17" s="16" t="s">
        <v>89</v>
      </c>
    </row>
    <row r="18" customFormat="false" ht="15" hidden="false" customHeight="false" outlineLevel="0" collapsed="false">
      <c r="A18" s="2"/>
      <c r="B18" s="10" t="s">
        <v>90</v>
      </c>
      <c r="C18" s="15" t="n">
        <v>3792.18</v>
      </c>
      <c r="D18" s="15" t="n">
        <v>4348.29</v>
      </c>
      <c r="E18" s="15" t="n">
        <v>4814.02</v>
      </c>
      <c r="F18" s="16" t="s">
        <v>74</v>
      </c>
    </row>
    <row r="19" customFormat="false" ht="15" hidden="false" customHeight="false" outlineLevel="0" collapsed="false">
      <c r="A19" s="2"/>
      <c r="B19" s="10" t="s">
        <v>91</v>
      </c>
      <c r="C19" s="15" t="n">
        <v>1174.31</v>
      </c>
      <c r="D19" s="15" t="n">
        <v>1045</v>
      </c>
      <c r="E19" s="15" t="n">
        <v>1248.49</v>
      </c>
      <c r="F19" s="16" t="s">
        <v>74</v>
      </c>
    </row>
    <row r="20" customFormat="false" ht="15" hidden="false" customHeight="false" outlineLevel="0" collapsed="false">
      <c r="A20" s="2"/>
      <c r="B20" s="12" t="s">
        <v>92</v>
      </c>
      <c r="C20" s="15" t="n">
        <v>2617.87</v>
      </c>
      <c r="D20" s="15" t="n">
        <v>3303.29</v>
      </c>
      <c r="E20" s="15" t="n">
        <v>3565.53</v>
      </c>
      <c r="F20" s="16" t="s">
        <v>74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13" t="s">
        <v>93</v>
      </c>
      <c r="B22" s="14"/>
      <c r="C22" s="14"/>
      <c r="D22" s="14"/>
      <c r="E22" s="14"/>
      <c r="F22" s="14"/>
    </row>
    <row r="23" customFormat="false" ht="22.35" hidden="false" customHeight="false" outlineLevel="0" collapsed="false">
      <c r="A23" s="2"/>
      <c r="B23" s="12" t="s">
        <v>94</v>
      </c>
      <c r="C23" s="17" t="n">
        <f aca="false">C6-C11-C12-C13</f>
        <v>4606.58</v>
      </c>
      <c r="D23" s="17" t="n">
        <f aca="false">D6-D11-D12-D13</f>
        <v>4930.56</v>
      </c>
      <c r="E23" s="17" t="n">
        <f aca="false">E6-E11-E12-E13</f>
        <v>5732.25</v>
      </c>
      <c r="F23" s="16" t="s">
        <v>95</v>
      </c>
    </row>
    <row r="24" customFormat="false" ht="15" hidden="false" customHeight="false" outlineLevel="0" collapsed="false">
      <c r="A24" s="2"/>
      <c r="B24" s="10" t="s">
        <v>96</v>
      </c>
      <c r="C24" s="18" t="n">
        <f aca="false">C23+C7</f>
        <v>4853.15</v>
      </c>
      <c r="D24" s="18" t="n">
        <f aca="false">D23+D7</f>
        <v>5180.81</v>
      </c>
      <c r="E24" s="18" t="n">
        <f aca="false">E23+E7</f>
        <v>6047.42</v>
      </c>
      <c r="F24" s="16"/>
    </row>
    <row r="25" customFormat="false" ht="15" hidden="false" customHeight="false" outlineLevel="0" collapsed="false">
      <c r="A25" s="2"/>
      <c r="B25" s="10" t="s">
        <v>97</v>
      </c>
      <c r="C25" s="18" t="n">
        <f aca="false">C23-C15</f>
        <v>3888.77</v>
      </c>
      <c r="D25" s="18" t="n">
        <f aca="false">D23-D15</f>
        <v>4211.22</v>
      </c>
      <c r="E25" s="18" t="n">
        <f aca="false">E23-E15</f>
        <v>5017.06</v>
      </c>
      <c r="F25" s="16"/>
    </row>
    <row r="26" customFormat="false" ht="15" hidden="false" customHeight="false" outlineLevel="0" collapsed="false">
      <c r="A26" s="2"/>
      <c r="B26" s="10" t="s">
        <v>98</v>
      </c>
      <c r="C26" s="18" t="n">
        <f aca="false">ROUND(C23+C7-C15-C14-C16,2)</f>
        <v>0</v>
      </c>
      <c r="D26" s="18" t="n">
        <f aca="false">ROUND(D23+D7-D15-D14-D16,2)</f>
        <v>0</v>
      </c>
      <c r="E26" s="18" t="n">
        <f aca="false">ROUND(E23+E7-E15-E14-E16,2)</f>
        <v>0</v>
      </c>
      <c r="F26" s="16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</row>
    <row r="28" customFormat="false" ht="15" hidden="false" customHeight="false" outlineLevel="0" collapsed="false">
      <c r="A28" s="13" t="s">
        <v>99</v>
      </c>
      <c r="B28" s="14"/>
      <c r="C28" s="14"/>
      <c r="D28" s="14"/>
      <c r="E28" s="14"/>
      <c r="F28" s="14"/>
    </row>
    <row r="29" customFormat="false" ht="15" hidden="false" customHeight="false" outlineLevel="0" collapsed="false">
      <c r="A29" s="2"/>
      <c r="B29" s="10" t="s">
        <v>100</v>
      </c>
      <c r="C29" s="15" t="n">
        <v>192.66</v>
      </c>
      <c r="D29" s="15" t="n">
        <v>142.25</v>
      </c>
      <c r="E29" s="15" t="n">
        <v>91.29</v>
      </c>
      <c r="F29" s="16" t="s">
        <v>101</v>
      </c>
    </row>
    <row r="30" customFormat="false" ht="15" hidden="false" customHeight="false" outlineLevel="0" collapsed="false">
      <c r="A30" s="2"/>
      <c r="B30" s="10" t="s">
        <v>102</v>
      </c>
      <c r="C30" s="15" t="n">
        <v>2.3</v>
      </c>
      <c r="D30" s="15" t="n">
        <v>17.36</v>
      </c>
      <c r="E30" s="15" t="n">
        <v>21.24</v>
      </c>
      <c r="F30" s="16" t="s">
        <v>103</v>
      </c>
    </row>
    <row r="31" customFormat="false" ht="15" hidden="false" customHeight="false" outlineLevel="0" collapsed="false">
      <c r="A31" s="2"/>
      <c r="B31" s="10" t="s">
        <v>104</v>
      </c>
      <c r="C31" s="15" t="n">
        <v>55.36</v>
      </c>
      <c r="D31" s="15" t="n">
        <v>88.55</v>
      </c>
      <c r="E31" s="15" t="n">
        <v>95.69</v>
      </c>
      <c r="F31" s="16" t="s">
        <v>105</v>
      </c>
    </row>
    <row r="32" customFormat="false" ht="15" hidden="false" customHeight="false" outlineLevel="0" collapsed="false">
      <c r="A32" s="2"/>
      <c r="B32" s="10" t="s">
        <v>106</v>
      </c>
      <c r="C32" s="15" t="n">
        <v>3.72</v>
      </c>
      <c r="D32" s="15" t="n">
        <v>3.47</v>
      </c>
      <c r="E32" s="15" t="n">
        <v>3.99</v>
      </c>
      <c r="F32" s="16" t="s">
        <v>103</v>
      </c>
    </row>
    <row r="33" customFormat="false" ht="15" hidden="false" customHeight="false" outlineLevel="0" collapsed="false">
      <c r="A33" s="2"/>
      <c r="B33" s="10" t="s">
        <v>107</v>
      </c>
      <c r="C33" s="18" t="n">
        <f aca="false">ROUND(C29-C30+C31+C32-C14,2)</f>
        <v>0</v>
      </c>
      <c r="D33" s="18" t="n">
        <f aca="false">ROUND(D29-D30+D31+D32-D14,2)</f>
        <v>0</v>
      </c>
      <c r="E33" s="18" t="n">
        <f aca="false">ROUND(E29-E30+E31+E32-E14,2)</f>
        <v>0</v>
      </c>
      <c r="F33" s="16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</row>
    <row r="35" customFormat="false" ht="15" hidden="false" customHeight="false" outlineLevel="0" collapsed="false">
      <c r="A35" s="13" t="s">
        <v>108</v>
      </c>
      <c r="B35" s="14"/>
      <c r="C35" s="14"/>
      <c r="D35" s="14"/>
      <c r="E35" s="14"/>
      <c r="F35" s="14"/>
    </row>
    <row r="36" customFormat="false" ht="15" hidden="false" customHeight="false" outlineLevel="0" collapsed="false">
      <c r="A36" s="2"/>
      <c r="B36" s="10" t="s">
        <v>109</v>
      </c>
      <c r="C36" s="15" t="n">
        <v>4502.22</v>
      </c>
      <c r="D36" s="15" t="n">
        <v>4406.64</v>
      </c>
      <c r="E36" s="15" t="n">
        <v>5072.1</v>
      </c>
      <c r="F36" s="16" t="s">
        <v>110</v>
      </c>
    </row>
    <row r="37" customFormat="false" ht="15" hidden="false" customHeight="false" outlineLevel="0" collapsed="false">
      <c r="A37" s="2"/>
      <c r="B37" s="10" t="s">
        <v>111</v>
      </c>
      <c r="C37" s="15" t="n">
        <v>95.53</v>
      </c>
      <c r="D37" s="15" t="n">
        <v>276.87</v>
      </c>
      <c r="E37" s="15" t="n">
        <v>209.98</v>
      </c>
      <c r="F37" s="16" t="s">
        <v>110</v>
      </c>
    </row>
    <row r="38" customFormat="false" ht="15" hidden="false" customHeight="false" outlineLevel="0" collapsed="false">
      <c r="A38" s="2"/>
      <c r="B38" s="10" t="s">
        <v>112</v>
      </c>
      <c r="C38" s="15" t="n">
        <v>235.3</v>
      </c>
      <c r="D38" s="15" t="n">
        <v>275.33</v>
      </c>
      <c r="E38" s="15" t="n">
        <v>263.04</v>
      </c>
      <c r="F38" s="16" t="s">
        <v>110</v>
      </c>
    </row>
    <row r="39" customFormat="false" ht="15" hidden="false" customHeight="false" outlineLevel="0" collapsed="false">
      <c r="A39" s="2"/>
      <c r="B39" s="10" t="s">
        <v>113</v>
      </c>
      <c r="C39" s="15" t="n">
        <v>449.9</v>
      </c>
      <c r="D39" s="15" t="n">
        <v>449.9</v>
      </c>
      <c r="E39" s="15" t="n">
        <v>449.9</v>
      </c>
      <c r="F39" s="16" t="s">
        <v>110</v>
      </c>
    </row>
    <row r="40" customFormat="false" ht="15" hidden="false" customHeight="false" outlineLevel="0" collapsed="false">
      <c r="A40" s="2"/>
      <c r="B40" s="10" t="s">
        <v>114</v>
      </c>
      <c r="C40" s="15" t="n">
        <v>764.38</v>
      </c>
      <c r="D40" s="15" t="n">
        <v>713.62</v>
      </c>
      <c r="E40" s="15" t="n">
        <v>603.83</v>
      </c>
      <c r="F40" s="16" t="s">
        <v>110</v>
      </c>
    </row>
    <row r="41" customFormat="false" ht="15" hidden="false" customHeight="false" outlineLevel="0" collapsed="false">
      <c r="A41" s="2"/>
      <c r="B41" s="10" t="s">
        <v>115</v>
      </c>
      <c r="C41" s="15" t="n">
        <v>106</v>
      </c>
      <c r="D41" s="15" t="n">
        <v>147.89</v>
      </c>
      <c r="E41" s="15" t="n">
        <v>269.31</v>
      </c>
      <c r="F41" s="16" t="s">
        <v>110</v>
      </c>
    </row>
    <row r="42" customFormat="false" ht="15" hidden="false" customHeight="false" outlineLevel="0" collapsed="false">
      <c r="A42" s="2"/>
      <c r="B42" s="10" t="s">
        <v>116</v>
      </c>
      <c r="C42" s="15" t="n">
        <v>5310.71</v>
      </c>
      <c r="D42" s="15" t="n">
        <v>5654.26</v>
      </c>
      <c r="E42" s="15" t="n">
        <v>6559.29</v>
      </c>
      <c r="F42" s="16" t="s">
        <v>117</v>
      </c>
    </row>
    <row r="43" customFormat="false" ht="15" hidden="false" customHeight="false" outlineLevel="0" collapsed="false">
      <c r="A43" s="2"/>
      <c r="B43" s="10" t="s">
        <v>118</v>
      </c>
      <c r="C43" s="15" t="n">
        <v>0.25</v>
      </c>
      <c r="D43" s="15" t="n">
        <v>0</v>
      </c>
      <c r="E43" s="15" t="n">
        <v>0</v>
      </c>
      <c r="F43" s="16" t="s">
        <v>110</v>
      </c>
    </row>
    <row r="44" customFormat="false" ht="15" hidden="false" customHeight="false" outlineLevel="0" collapsed="false">
      <c r="A44" s="2"/>
      <c r="B44" s="10" t="s">
        <v>119</v>
      </c>
      <c r="C44" s="15" t="n">
        <v>64.94</v>
      </c>
      <c r="D44" s="15" t="n">
        <v>575.01</v>
      </c>
      <c r="E44" s="15" t="n">
        <v>128.4</v>
      </c>
      <c r="F44" s="16" t="s">
        <v>110</v>
      </c>
    </row>
    <row r="45" customFormat="false" ht="15" hidden="false" customHeight="false" outlineLevel="0" collapsed="false">
      <c r="A45" s="2"/>
      <c r="B45" s="10" t="s">
        <v>120</v>
      </c>
      <c r="C45" s="15" t="n">
        <v>50.34</v>
      </c>
      <c r="D45" s="15" t="n">
        <v>34.32</v>
      </c>
      <c r="E45" s="15" t="n">
        <v>14.53</v>
      </c>
      <c r="F45" s="16" t="s">
        <v>110</v>
      </c>
    </row>
    <row r="46" customFormat="false" ht="15" hidden="false" customHeight="false" outlineLevel="0" collapsed="false">
      <c r="A46" s="2"/>
      <c r="B46" s="10" t="s">
        <v>121</v>
      </c>
      <c r="C46" s="15" t="n">
        <v>369.09</v>
      </c>
      <c r="D46" s="15" t="n">
        <v>659.69</v>
      </c>
      <c r="E46" s="15" t="n">
        <v>361.29</v>
      </c>
      <c r="F46" s="16" t="s">
        <v>110</v>
      </c>
    </row>
    <row r="47" customFormat="false" ht="15" hidden="false" customHeight="false" outlineLevel="0" collapsed="false">
      <c r="A47" s="2"/>
      <c r="B47" s="12" t="s">
        <v>122</v>
      </c>
      <c r="C47" s="17" t="n">
        <f aca="false">SUM(C36:C46)</f>
        <v>11948.66</v>
      </c>
      <c r="D47" s="17" t="n">
        <f aca="false">SUM(D36:D46)</f>
        <v>13193.53</v>
      </c>
      <c r="E47" s="17" t="n">
        <f aca="false">SUM(E36:E46)</f>
        <v>13931.67</v>
      </c>
      <c r="F47" s="16"/>
    </row>
    <row r="48" customFormat="false" ht="15" hidden="false" customHeight="false" outlineLevel="0" collapsed="false">
      <c r="A48" s="2"/>
      <c r="B48" s="10" t="s">
        <v>123</v>
      </c>
      <c r="C48" s="15" t="n">
        <v>3190.69</v>
      </c>
      <c r="D48" s="15" t="n">
        <v>2957.32</v>
      </c>
      <c r="E48" s="15" t="n">
        <v>3486.02</v>
      </c>
      <c r="F48" s="16" t="s">
        <v>110</v>
      </c>
    </row>
    <row r="49" customFormat="false" ht="15" hidden="false" customHeight="false" outlineLevel="0" collapsed="false">
      <c r="A49" s="2"/>
      <c r="B49" s="10" t="s">
        <v>124</v>
      </c>
      <c r="C49" s="15" t="n">
        <v>249.06</v>
      </c>
      <c r="D49" s="15" t="n">
        <v>3018.7</v>
      </c>
      <c r="E49" s="15" t="n">
        <v>4119.71</v>
      </c>
      <c r="F49" s="16" t="s">
        <v>125</v>
      </c>
    </row>
    <row r="50" customFormat="false" ht="15" hidden="false" customHeight="false" outlineLevel="0" collapsed="false">
      <c r="A50" s="2"/>
      <c r="B50" s="10" t="s">
        <v>126</v>
      </c>
      <c r="C50" s="15" t="n">
        <v>3569.65</v>
      </c>
      <c r="D50" s="15" t="n">
        <v>2887.32</v>
      </c>
      <c r="E50" s="15" t="n">
        <v>2950.41</v>
      </c>
      <c r="F50" s="16" t="s">
        <v>110</v>
      </c>
    </row>
    <row r="51" customFormat="false" ht="15" hidden="false" customHeight="false" outlineLevel="0" collapsed="false">
      <c r="A51" s="2"/>
      <c r="B51" s="10" t="s">
        <v>127</v>
      </c>
      <c r="C51" s="15" t="n">
        <v>1941.87</v>
      </c>
      <c r="D51" s="15" t="n">
        <v>2659.82</v>
      </c>
      <c r="E51" s="15" t="n">
        <v>2031.09</v>
      </c>
      <c r="F51" s="16" t="s">
        <v>110</v>
      </c>
    </row>
    <row r="52" customFormat="false" ht="15" hidden="false" customHeight="false" outlineLevel="0" collapsed="false">
      <c r="A52" s="2"/>
      <c r="B52" s="10" t="s">
        <v>128</v>
      </c>
      <c r="C52" s="15" t="n">
        <v>1496.31</v>
      </c>
      <c r="D52" s="15" t="n">
        <v>46.13</v>
      </c>
      <c r="E52" s="15" t="n">
        <v>945.96</v>
      </c>
      <c r="F52" s="16" t="s">
        <v>129</v>
      </c>
    </row>
    <row r="53" customFormat="false" ht="15" hidden="false" customHeight="false" outlineLevel="0" collapsed="false">
      <c r="A53" s="2"/>
      <c r="B53" s="10" t="s">
        <v>130</v>
      </c>
      <c r="C53" s="15" t="n">
        <v>95</v>
      </c>
      <c r="D53" s="15" t="n">
        <v>0</v>
      </c>
      <c r="E53" s="15" t="n">
        <v>0</v>
      </c>
      <c r="F53" s="16" t="s">
        <v>110</v>
      </c>
    </row>
    <row r="54" customFormat="false" ht="15" hidden="false" customHeight="false" outlineLevel="0" collapsed="false">
      <c r="A54" s="2"/>
      <c r="B54" s="10" t="s">
        <v>131</v>
      </c>
      <c r="C54" s="15" t="n">
        <v>241.8</v>
      </c>
      <c r="D54" s="15" t="n">
        <v>118.21</v>
      </c>
      <c r="E54" s="15" t="n">
        <v>242.94</v>
      </c>
      <c r="F54" s="16" t="s">
        <v>110</v>
      </c>
    </row>
    <row r="55" customFormat="false" ht="15" hidden="false" customHeight="false" outlineLevel="0" collapsed="false">
      <c r="A55" s="2"/>
      <c r="B55" s="10" t="s">
        <v>132</v>
      </c>
      <c r="C55" s="15" t="n">
        <v>812.69</v>
      </c>
      <c r="D55" s="15" t="n">
        <v>621.12</v>
      </c>
      <c r="E55" s="15" t="n">
        <v>885.86</v>
      </c>
      <c r="F55" s="16" t="s">
        <v>110</v>
      </c>
    </row>
    <row r="56" customFormat="false" ht="15" hidden="false" customHeight="false" outlineLevel="0" collapsed="false">
      <c r="A56" s="2"/>
      <c r="B56" s="12" t="s">
        <v>133</v>
      </c>
      <c r="C56" s="17" t="n">
        <f aca="false">SUM(C48:C55)</f>
        <v>11597.07</v>
      </c>
      <c r="D56" s="17" t="n">
        <f aca="false">SUM(D48:D55)</f>
        <v>12308.62</v>
      </c>
      <c r="E56" s="17" t="n">
        <f aca="false">SUM(E48:E55)</f>
        <v>14661.99</v>
      </c>
      <c r="F56" s="16"/>
    </row>
    <row r="57" customFormat="false" ht="15" hidden="false" customHeight="false" outlineLevel="0" collapsed="false">
      <c r="A57" s="2"/>
      <c r="B57" s="10" t="s">
        <v>134</v>
      </c>
      <c r="C57" s="15" t="n">
        <v>66.02</v>
      </c>
      <c r="D57" s="15" t="n">
        <v>23.68</v>
      </c>
      <c r="E57" s="15" t="n">
        <v>0</v>
      </c>
      <c r="F57" s="16" t="s">
        <v>110</v>
      </c>
    </row>
    <row r="58" customFormat="false" ht="15" hidden="false" customHeight="false" outlineLevel="0" collapsed="false">
      <c r="A58" s="2"/>
      <c r="B58" s="12" t="s">
        <v>135</v>
      </c>
      <c r="C58" s="17" t="n">
        <f aca="false">C47+C56+C57</f>
        <v>23611.75</v>
      </c>
      <c r="D58" s="17" t="n">
        <f aca="false">D47+D56+D57</f>
        <v>25525.83</v>
      </c>
      <c r="E58" s="17" t="n">
        <f aca="false">E47+E56+E57</f>
        <v>28593.66</v>
      </c>
      <c r="F58" s="16"/>
    </row>
    <row r="59" customFormat="false" ht="15" hidden="false" customHeight="false" outlineLevel="0" collapsed="false">
      <c r="A59" s="2"/>
      <c r="B59" s="10" t="s">
        <v>136</v>
      </c>
      <c r="C59" s="15" t="n">
        <v>293.63</v>
      </c>
      <c r="D59" s="15" t="n">
        <v>293.65</v>
      </c>
      <c r="E59" s="15" t="n">
        <v>587.39</v>
      </c>
      <c r="F59" s="16" t="s">
        <v>137</v>
      </c>
    </row>
    <row r="60" customFormat="false" ht="15" hidden="false" customHeight="false" outlineLevel="0" collapsed="false">
      <c r="A60" s="2"/>
      <c r="B60" s="10" t="s">
        <v>138</v>
      </c>
      <c r="C60" s="15" t="n">
        <v>8516.74</v>
      </c>
      <c r="D60" s="15" t="n">
        <v>11225.14</v>
      </c>
      <c r="E60" s="15" t="n">
        <v>12526.03</v>
      </c>
      <c r="F60" s="16" t="s">
        <v>110</v>
      </c>
    </row>
    <row r="61" customFormat="false" ht="15" hidden="false" customHeight="false" outlineLevel="0" collapsed="false">
      <c r="A61" s="2"/>
      <c r="B61" s="12" t="s">
        <v>139</v>
      </c>
      <c r="C61" s="17" t="n">
        <f aca="false">C59+C60</f>
        <v>8810.37</v>
      </c>
      <c r="D61" s="17" t="n">
        <f aca="false">D59+D60</f>
        <v>11518.79</v>
      </c>
      <c r="E61" s="17" t="n">
        <f aca="false">E59+E60</f>
        <v>13113.42</v>
      </c>
      <c r="F61" s="16"/>
    </row>
    <row r="62" customFormat="false" ht="15" hidden="false" customHeight="false" outlineLevel="0" collapsed="false">
      <c r="A62" s="2"/>
      <c r="B62" s="10" t="s">
        <v>140</v>
      </c>
      <c r="C62" s="15" t="n">
        <v>1131.64</v>
      </c>
      <c r="D62" s="15" t="n">
        <v>902.23</v>
      </c>
      <c r="E62" s="15" t="n">
        <v>517.88</v>
      </c>
      <c r="F62" s="16" t="s">
        <v>141</v>
      </c>
    </row>
    <row r="63" customFormat="false" ht="15" hidden="false" customHeight="false" outlineLevel="0" collapsed="false">
      <c r="A63" s="2"/>
      <c r="B63" s="10" t="s">
        <v>142</v>
      </c>
      <c r="C63" s="15" t="n">
        <v>29.4</v>
      </c>
      <c r="D63" s="15" t="n">
        <v>31.74</v>
      </c>
      <c r="E63" s="15" t="n">
        <v>29.6</v>
      </c>
      <c r="F63" s="16" t="s">
        <v>110</v>
      </c>
    </row>
    <row r="64" customFormat="false" ht="15" hidden="false" customHeight="false" outlineLevel="0" collapsed="false">
      <c r="A64" s="2"/>
      <c r="B64" s="10" t="s">
        <v>143</v>
      </c>
      <c r="C64" s="15" t="n">
        <v>21.31</v>
      </c>
      <c r="D64" s="15" t="n">
        <v>12.57</v>
      </c>
      <c r="E64" s="15" t="n">
        <v>10.99</v>
      </c>
      <c r="F64" s="16" t="s">
        <v>110</v>
      </c>
    </row>
    <row r="65" customFormat="false" ht="15" hidden="false" customHeight="false" outlineLevel="0" collapsed="false">
      <c r="A65" s="2"/>
      <c r="B65" s="10" t="s">
        <v>144</v>
      </c>
      <c r="C65" s="15" t="n">
        <v>283.45</v>
      </c>
      <c r="D65" s="15" t="n">
        <v>372.86</v>
      </c>
      <c r="E65" s="15" t="n">
        <v>423.97</v>
      </c>
      <c r="F65" s="16" t="s">
        <v>110</v>
      </c>
    </row>
    <row r="66" customFormat="false" ht="15" hidden="false" customHeight="false" outlineLevel="0" collapsed="false">
      <c r="A66" s="2"/>
      <c r="B66" s="10" t="s">
        <v>145</v>
      </c>
      <c r="C66" s="15" t="n">
        <v>724.07</v>
      </c>
      <c r="D66" s="15" t="n">
        <v>708.97</v>
      </c>
      <c r="E66" s="15" t="n">
        <v>635.45</v>
      </c>
      <c r="F66" s="16" t="s">
        <v>110</v>
      </c>
    </row>
    <row r="67" customFormat="false" ht="15" hidden="false" customHeight="false" outlineLevel="0" collapsed="false">
      <c r="A67" s="2"/>
      <c r="B67" s="10" t="s">
        <v>146</v>
      </c>
      <c r="C67" s="15" t="n">
        <v>556.31</v>
      </c>
      <c r="D67" s="15" t="n">
        <v>547.89</v>
      </c>
      <c r="E67" s="15" t="n">
        <v>535.71</v>
      </c>
      <c r="F67" s="16" t="s">
        <v>110</v>
      </c>
    </row>
    <row r="68" customFormat="false" ht="15" hidden="false" customHeight="false" outlineLevel="0" collapsed="false">
      <c r="A68" s="2"/>
      <c r="B68" s="12" t="s">
        <v>147</v>
      </c>
      <c r="C68" s="17" t="n">
        <f aca="false">SUM(C62:C67)</f>
        <v>2746.18</v>
      </c>
      <c r="D68" s="17" t="n">
        <f aca="false">SUM(D62:D67)</f>
        <v>2576.26</v>
      </c>
      <c r="E68" s="17" t="n">
        <f aca="false">SUM(E62:E67)</f>
        <v>2153.6</v>
      </c>
      <c r="F68" s="16"/>
    </row>
    <row r="69" customFormat="false" ht="15" hidden="false" customHeight="false" outlineLevel="0" collapsed="false">
      <c r="A69" s="2"/>
      <c r="B69" s="10" t="s">
        <v>148</v>
      </c>
      <c r="C69" s="15" t="n">
        <v>1122.89</v>
      </c>
      <c r="D69" s="15" t="n">
        <v>533.21</v>
      </c>
      <c r="E69" s="15" t="n">
        <v>633.82</v>
      </c>
      <c r="F69" s="16" t="s">
        <v>149</v>
      </c>
    </row>
    <row r="70" customFormat="false" ht="15" hidden="false" customHeight="false" outlineLevel="0" collapsed="false">
      <c r="A70" s="2"/>
      <c r="B70" s="10" t="s">
        <v>150</v>
      </c>
      <c r="C70" s="15" t="n">
        <v>15.47</v>
      </c>
      <c r="D70" s="15" t="n">
        <v>14.54</v>
      </c>
      <c r="E70" s="15" t="n">
        <v>13.74</v>
      </c>
      <c r="F70" s="16" t="s">
        <v>110</v>
      </c>
    </row>
    <row r="71" customFormat="false" ht="15" hidden="false" customHeight="false" outlineLevel="0" collapsed="false">
      <c r="A71" s="2"/>
      <c r="B71" s="10" t="s">
        <v>151</v>
      </c>
      <c r="C71" s="15" t="n">
        <v>79.54</v>
      </c>
      <c r="D71" s="15" t="n">
        <v>56.58</v>
      </c>
      <c r="E71" s="15" t="n">
        <v>231.08</v>
      </c>
      <c r="F71" s="16" t="s">
        <v>110</v>
      </c>
    </row>
    <row r="72" customFormat="false" ht="15" hidden="false" customHeight="false" outlineLevel="0" collapsed="false">
      <c r="A72" s="2"/>
      <c r="B72" s="10" t="s">
        <v>152</v>
      </c>
      <c r="C72" s="15" t="n">
        <v>6225.65</v>
      </c>
      <c r="D72" s="15" t="n">
        <v>7248.11</v>
      </c>
      <c r="E72" s="15" t="n">
        <v>8098.18</v>
      </c>
      <c r="F72" s="16" t="s">
        <v>110</v>
      </c>
    </row>
    <row r="73" customFormat="false" ht="22.35" hidden="false" customHeight="false" outlineLevel="0" collapsed="false">
      <c r="A73" s="2"/>
      <c r="B73" s="10" t="s">
        <v>153</v>
      </c>
      <c r="C73" s="15" t="n">
        <v>2463.77</v>
      </c>
      <c r="D73" s="15" t="n">
        <v>1211.22</v>
      </c>
      <c r="E73" s="15" t="n">
        <v>1365.79</v>
      </c>
      <c r="F73" s="16" t="s">
        <v>154</v>
      </c>
    </row>
    <row r="74" customFormat="false" ht="15" hidden="false" customHeight="false" outlineLevel="0" collapsed="false">
      <c r="A74" s="2"/>
      <c r="B74" s="10" t="s">
        <v>155</v>
      </c>
      <c r="C74" s="15" t="n">
        <v>476.02</v>
      </c>
      <c r="D74" s="15" t="n">
        <v>422.85</v>
      </c>
      <c r="E74" s="15" t="n">
        <v>674.11</v>
      </c>
      <c r="F74" s="16" t="s">
        <v>110</v>
      </c>
    </row>
    <row r="75" customFormat="false" ht="15" hidden="false" customHeight="false" outlineLevel="0" collapsed="false">
      <c r="A75" s="2"/>
      <c r="B75" s="10" t="s">
        <v>156</v>
      </c>
      <c r="C75" s="15" t="n">
        <v>650.68</v>
      </c>
      <c r="D75" s="15" t="n">
        <v>825.15</v>
      </c>
      <c r="E75" s="15" t="n">
        <v>1350.34</v>
      </c>
      <c r="F75" s="16" t="s">
        <v>110</v>
      </c>
    </row>
    <row r="76" customFormat="false" ht="15" hidden="false" customHeight="false" outlineLevel="0" collapsed="false">
      <c r="A76" s="2"/>
      <c r="B76" s="10" t="s">
        <v>157</v>
      </c>
      <c r="C76" s="15" t="n">
        <v>478.11</v>
      </c>
      <c r="D76" s="15" t="n">
        <v>492.78</v>
      </c>
      <c r="E76" s="15" t="n">
        <v>219.02</v>
      </c>
      <c r="F76" s="16" t="s">
        <v>110</v>
      </c>
    </row>
    <row r="77" customFormat="false" ht="15" hidden="false" customHeight="false" outlineLevel="0" collapsed="false">
      <c r="A77" s="2"/>
      <c r="B77" s="10" t="s">
        <v>158</v>
      </c>
      <c r="C77" s="15" t="n">
        <v>526.24</v>
      </c>
      <c r="D77" s="15" t="n">
        <v>621.69</v>
      </c>
      <c r="E77" s="15" t="n">
        <v>740.56</v>
      </c>
      <c r="F77" s="16" t="s">
        <v>110</v>
      </c>
    </row>
    <row r="78" customFormat="false" ht="15" hidden="false" customHeight="false" outlineLevel="0" collapsed="false">
      <c r="A78" s="2"/>
      <c r="B78" s="12" t="s">
        <v>159</v>
      </c>
      <c r="C78" s="17" t="n">
        <f aca="false">SUM(C69:C77)</f>
        <v>12038.37</v>
      </c>
      <c r="D78" s="17" t="n">
        <f aca="false">SUM(D69:D77)</f>
        <v>11426.13</v>
      </c>
      <c r="E78" s="17" t="n">
        <f aca="false">SUM(E69:E77)</f>
        <v>13326.64</v>
      </c>
      <c r="F78" s="16"/>
    </row>
    <row r="79" customFormat="false" ht="15" hidden="false" customHeight="false" outlineLevel="0" collapsed="false">
      <c r="A79" s="2"/>
      <c r="B79" s="10" t="s">
        <v>160</v>
      </c>
      <c r="C79" s="15" t="n">
        <v>16.83</v>
      </c>
      <c r="D79" s="15" t="n">
        <v>4.65</v>
      </c>
      <c r="E79" s="15" t="n">
        <v>0</v>
      </c>
      <c r="F79" s="16" t="s">
        <v>110</v>
      </c>
    </row>
    <row r="80" customFormat="false" ht="15" hidden="false" customHeight="false" outlineLevel="0" collapsed="false">
      <c r="A80" s="2"/>
      <c r="B80" s="12" t="s">
        <v>161</v>
      </c>
      <c r="C80" s="17" t="n">
        <f aca="false">C61+C68+C78+C79</f>
        <v>23611.75</v>
      </c>
      <c r="D80" s="17" t="n">
        <f aca="false">D61+D68+D78+D79</f>
        <v>25525.83</v>
      </c>
      <c r="E80" s="17" t="n">
        <f aca="false">E61+E68+E78+E79</f>
        <v>28593.66</v>
      </c>
      <c r="F80" s="16"/>
    </row>
    <row r="81" customFormat="false" ht="15" hidden="false" customHeight="false" outlineLevel="0" collapsed="false">
      <c r="A81" s="2"/>
      <c r="B81" s="10" t="s">
        <v>162</v>
      </c>
      <c r="C81" s="18" t="n">
        <f aca="false">ROUND(C58-C80,2)</f>
        <v>0</v>
      </c>
      <c r="D81" s="18" t="n">
        <f aca="false">ROUND(D58-D80,2)</f>
        <v>0</v>
      </c>
      <c r="E81" s="18" t="n">
        <f aca="false">ROUND(E58-E80,2)</f>
        <v>0</v>
      </c>
      <c r="F81" s="16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</row>
    <row r="83" customFormat="false" ht="15" hidden="false" customHeight="false" outlineLevel="0" collapsed="false">
      <c r="A83" s="13" t="s">
        <v>163</v>
      </c>
      <c r="B83" s="14"/>
      <c r="C83" s="14"/>
      <c r="D83" s="14"/>
      <c r="E83" s="14"/>
      <c r="F83" s="14"/>
    </row>
    <row r="84" customFormat="false" ht="22.35" hidden="false" customHeight="false" outlineLevel="0" collapsed="false">
      <c r="A84" s="2"/>
      <c r="B84" s="10" t="s">
        <v>164</v>
      </c>
      <c r="C84" s="15" t="n">
        <v>1496.31</v>
      </c>
      <c r="D84" s="15" t="n">
        <v>46.13</v>
      </c>
      <c r="E84" s="15" t="n">
        <v>45.96</v>
      </c>
      <c r="F84" s="16" t="s">
        <v>165</v>
      </c>
    </row>
    <row r="85" customFormat="false" ht="15" hidden="false" customHeight="false" outlineLevel="0" collapsed="false">
      <c r="A85" s="2"/>
      <c r="B85" s="10" t="s">
        <v>166</v>
      </c>
      <c r="C85" s="18" t="n">
        <f aca="false">C71+C72</f>
        <v>6305.19</v>
      </c>
      <c r="D85" s="18" t="n">
        <f aca="false">D71+D72</f>
        <v>7304.69</v>
      </c>
      <c r="E85" s="18" t="n">
        <f aca="false">E71+E72</f>
        <v>8329.26</v>
      </c>
      <c r="F85" s="16"/>
    </row>
    <row r="86" customFormat="false" ht="15" hidden="false" customHeight="false" outlineLevel="0" collapsed="false">
      <c r="A86" s="2"/>
      <c r="B86" s="10" t="s">
        <v>167</v>
      </c>
      <c r="C86" s="18" t="n">
        <f aca="false">C63+C70</f>
        <v>44.87</v>
      </c>
      <c r="D86" s="18" t="n">
        <f aca="false">D63+D70</f>
        <v>46.28</v>
      </c>
      <c r="E86" s="18" t="n">
        <f aca="false">E63+E70</f>
        <v>43.34</v>
      </c>
      <c r="F86" s="16"/>
    </row>
    <row r="87" customFormat="false" ht="15" hidden="false" customHeight="false" outlineLevel="0" collapsed="false">
      <c r="A87" s="2"/>
      <c r="B87" s="12" t="s">
        <v>168</v>
      </c>
      <c r="C87" s="17" t="n">
        <f aca="false">C62+C69</f>
        <v>2254.53</v>
      </c>
      <c r="D87" s="17" t="n">
        <f aca="false">D62+D69</f>
        <v>1435.44</v>
      </c>
      <c r="E87" s="17" t="n">
        <f aca="false">E62+E69</f>
        <v>1151.7</v>
      </c>
      <c r="F87" s="16"/>
    </row>
    <row r="88" customFormat="false" ht="15" hidden="false" customHeight="false" outlineLevel="0" collapsed="false">
      <c r="A88" s="2"/>
      <c r="B88" s="12" t="s">
        <v>169</v>
      </c>
      <c r="C88" s="17" t="n">
        <f aca="false">C87+C86</f>
        <v>2299.4</v>
      </c>
      <c r="D88" s="17" t="n">
        <f aca="false">D87+D86</f>
        <v>1481.72</v>
      </c>
      <c r="E88" s="17" t="n">
        <f aca="false">E87+E86</f>
        <v>1195.04</v>
      </c>
      <c r="F88" s="16"/>
    </row>
    <row r="89" customFormat="false" ht="15" hidden="false" customHeight="false" outlineLevel="0" collapsed="false">
      <c r="A89" s="2"/>
      <c r="B89" s="12" t="s">
        <v>170</v>
      </c>
      <c r="C89" s="17" t="n">
        <f aca="false">C51+C49+C52-C84</f>
        <v>2190.93</v>
      </c>
      <c r="D89" s="17" t="n">
        <f aca="false">D51+D49+D52-D84</f>
        <v>5678.52</v>
      </c>
      <c r="E89" s="17" t="n">
        <f aca="false">E51+E49+E52-E84</f>
        <v>7050.8</v>
      </c>
      <c r="F89" s="16" t="s">
        <v>171</v>
      </c>
    </row>
    <row r="90" customFormat="false" ht="15" hidden="false" customHeight="false" outlineLevel="0" collapsed="false">
      <c r="A90" s="2"/>
      <c r="B90" s="12" t="s">
        <v>172</v>
      </c>
      <c r="C90" s="17" t="n">
        <f aca="false">C61-C39-C40-C41</f>
        <v>7490.09</v>
      </c>
      <c r="D90" s="17" t="n">
        <f aca="false">D61-D39-D40-D41</f>
        <v>10207.38</v>
      </c>
      <c r="E90" s="17" t="n">
        <f aca="false">E61-E39-E40-E41</f>
        <v>11790.38</v>
      </c>
      <c r="F90" s="16"/>
    </row>
    <row r="91" customFormat="false" ht="15" hidden="false" customHeight="false" outlineLevel="0" collapsed="false">
      <c r="A91" s="2"/>
      <c r="B91" s="10" t="s">
        <v>173</v>
      </c>
      <c r="C91" s="18" t="n">
        <f aca="false">C58-C61</f>
        <v>14801.38</v>
      </c>
      <c r="D91" s="18" t="n">
        <f aca="false">D58-D61</f>
        <v>14007.04</v>
      </c>
      <c r="E91" s="18" t="n">
        <f aca="false">E58-E61</f>
        <v>15480.24</v>
      </c>
      <c r="F91" s="16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</row>
    <row r="93" customFormat="false" ht="15" hidden="false" customHeight="false" outlineLevel="0" collapsed="false">
      <c r="A93" s="13" t="s">
        <v>174</v>
      </c>
      <c r="B93" s="14"/>
      <c r="C93" s="14"/>
      <c r="D93" s="14"/>
      <c r="E93" s="14"/>
      <c r="F93" s="14"/>
    </row>
    <row r="94" customFormat="false" ht="15" hidden="false" customHeight="false" outlineLevel="0" collapsed="false">
      <c r="A94" s="2"/>
      <c r="B94" s="10" t="s">
        <v>175</v>
      </c>
      <c r="C94" s="15" t="n">
        <v>2503.12</v>
      </c>
      <c r="D94" s="15" t="n">
        <v>7819.42</v>
      </c>
      <c r="E94" s="15" t="n">
        <v>4792.1</v>
      </c>
      <c r="F94" s="16" t="s">
        <v>176</v>
      </c>
    </row>
    <row r="95" customFormat="false" ht="22.35" hidden="false" customHeight="false" outlineLevel="0" collapsed="false">
      <c r="A95" s="2"/>
      <c r="B95" s="10" t="s">
        <v>177</v>
      </c>
      <c r="C95" s="15" t="n">
        <v>-1453.48</v>
      </c>
      <c r="D95" s="15" t="n">
        <v>1453.48</v>
      </c>
      <c r="E95" s="15" t="n">
        <v>0</v>
      </c>
      <c r="F95" s="16" t="s">
        <v>178</v>
      </c>
    </row>
    <row r="96" customFormat="false" ht="15" hidden="false" customHeight="false" outlineLevel="0" collapsed="false">
      <c r="A96" s="2"/>
      <c r="B96" s="12" t="s">
        <v>179</v>
      </c>
      <c r="C96" s="17" t="n">
        <f aca="false">C94-C95</f>
        <v>3956.6</v>
      </c>
      <c r="D96" s="17" t="n">
        <f aca="false">D94-D95</f>
        <v>6365.94</v>
      </c>
      <c r="E96" s="17" t="n">
        <f aca="false">E94-E95</f>
        <v>4792.1</v>
      </c>
      <c r="F96" s="16"/>
    </row>
    <row r="97" customFormat="false" ht="15" hidden="false" customHeight="false" outlineLevel="0" collapsed="false">
      <c r="A97" s="2"/>
      <c r="B97" s="10" t="s">
        <v>180</v>
      </c>
      <c r="C97" s="15" t="n">
        <v>624.53</v>
      </c>
      <c r="D97" s="15" t="n">
        <v>940.73</v>
      </c>
      <c r="E97" s="15" t="n">
        <v>1088.26</v>
      </c>
      <c r="F97" s="16" t="s">
        <v>176</v>
      </c>
    </row>
    <row r="98" customFormat="false" ht="15" hidden="false" customHeight="false" outlineLevel="0" collapsed="false">
      <c r="A98" s="2"/>
      <c r="B98" s="10" t="s">
        <v>181</v>
      </c>
      <c r="C98" s="15" t="n">
        <v>495.5</v>
      </c>
      <c r="D98" s="15" t="n">
        <v>954.29</v>
      </c>
      <c r="E98" s="15" t="n">
        <v>1049.53</v>
      </c>
      <c r="F98" s="16" t="s">
        <v>176</v>
      </c>
    </row>
    <row r="99" customFormat="false" ht="15" hidden="false" customHeight="false" outlineLevel="0" collapsed="false">
      <c r="A99" s="2"/>
      <c r="B99" s="10" t="s">
        <v>182</v>
      </c>
      <c r="C99" s="15" t="n">
        <v>14.04</v>
      </c>
      <c r="D99" s="15" t="n">
        <v>29.98</v>
      </c>
      <c r="E99" s="15" t="n">
        <v>71.8</v>
      </c>
      <c r="F99" s="16" t="s">
        <v>176</v>
      </c>
    </row>
    <row r="100" customFormat="false" ht="15" hidden="false" customHeight="false" outlineLevel="0" collapsed="false">
      <c r="A100" s="2"/>
      <c r="B100" s="10" t="s">
        <v>183</v>
      </c>
      <c r="C100" s="15" t="n">
        <v>0</v>
      </c>
      <c r="D100" s="15" t="n">
        <v>247</v>
      </c>
      <c r="E100" s="15" t="n">
        <v>103</v>
      </c>
      <c r="F100" s="16" t="s">
        <v>176</v>
      </c>
    </row>
    <row r="101" customFormat="false" ht="15" hidden="false" customHeight="false" outlineLevel="0" collapsed="false">
      <c r="A101" s="2"/>
      <c r="B101" s="10" t="s">
        <v>184</v>
      </c>
      <c r="C101" s="15" t="n">
        <v>1104.98</v>
      </c>
      <c r="D101" s="15" t="n">
        <v>688.73</v>
      </c>
      <c r="E101" s="15" t="n">
        <v>379.6</v>
      </c>
      <c r="F101" s="16" t="s">
        <v>176</v>
      </c>
    </row>
    <row r="102" customFormat="false" ht="15" hidden="false" customHeight="false" outlineLevel="0" collapsed="false">
      <c r="A102" s="2"/>
      <c r="B102" s="10" t="s">
        <v>185</v>
      </c>
      <c r="C102" s="15" t="n">
        <v>5993.94</v>
      </c>
      <c r="D102" s="15" t="n">
        <v>4695.02</v>
      </c>
      <c r="E102" s="15" t="n">
        <v>1111.72</v>
      </c>
      <c r="F102" s="16" t="s">
        <v>176</v>
      </c>
    </row>
    <row r="103" customFormat="false" ht="15" hidden="false" customHeight="false" outlineLevel="0" collapsed="false">
      <c r="A103" s="2"/>
      <c r="B103" s="10" t="s">
        <v>186</v>
      </c>
      <c r="C103" s="15" t="n">
        <v>5778.58</v>
      </c>
      <c r="D103" s="15" t="n">
        <v>5029.3</v>
      </c>
      <c r="E103" s="15" t="n">
        <v>1111.72</v>
      </c>
      <c r="F103" s="16" t="s">
        <v>176</v>
      </c>
    </row>
    <row r="104" customFormat="false" ht="15" hidden="false" customHeight="false" outlineLevel="0" collapsed="false">
      <c r="A104" s="2"/>
      <c r="B104" s="10" t="s">
        <v>187</v>
      </c>
      <c r="C104" s="15" t="n">
        <v>20.02</v>
      </c>
      <c r="D104" s="15" t="n">
        <v>59.33</v>
      </c>
      <c r="E104" s="15" t="n">
        <v>14.8</v>
      </c>
      <c r="F104" s="16" t="s">
        <v>176</v>
      </c>
    </row>
    <row r="105" customFormat="false" ht="15" hidden="false" customHeight="false" outlineLevel="0" collapsed="false">
      <c r="A105" s="2"/>
      <c r="B105" s="10" t="s">
        <v>188</v>
      </c>
      <c r="C105" s="15" t="n">
        <v>246.11</v>
      </c>
      <c r="D105" s="15" t="n">
        <v>149.06</v>
      </c>
      <c r="E105" s="15" t="n">
        <v>93.64</v>
      </c>
      <c r="F105" s="16" t="s">
        <v>176</v>
      </c>
    </row>
    <row r="106" customFormat="false" ht="15" hidden="false" customHeight="false" outlineLevel="0" collapsed="false">
      <c r="A106" s="2"/>
      <c r="B106" s="10" t="s">
        <v>189</v>
      </c>
      <c r="C106" s="15" t="n">
        <v>763.39</v>
      </c>
      <c r="D106" s="15" t="n">
        <v>2040.77</v>
      </c>
      <c r="E106" s="15" t="n">
        <v>1835.42</v>
      </c>
      <c r="F106" s="16" t="s">
        <v>176</v>
      </c>
    </row>
    <row r="107" customFormat="false" ht="15" hidden="false" customHeight="false" outlineLevel="0" collapsed="false">
      <c r="A107" s="2"/>
      <c r="B107" s="10" t="s">
        <v>190</v>
      </c>
      <c r="C107" s="15" t="n">
        <v>902.13</v>
      </c>
      <c r="D107" s="15" t="n">
        <v>-4077.86</v>
      </c>
      <c r="E107" s="15" t="n">
        <v>-3205.2</v>
      </c>
      <c r="F107" s="16" t="s">
        <v>176</v>
      </c>
    </row>
    <row r="108" customFormat="false" ht="15" hidden="false" customHeight="false" outlineLevel="0" collapsed="false">
      <c r="A108" s="2"/>
      <c r="B108" s="10" t="s">
        <v>191</v>
      </c>
      <c r="C108" s="15" t="n">
        <v>-1917.47</v>
      </c>
      <c r="D108" s="15" t="n">
        <v>-3023.5</v>
      </c>
      <c r="E108" s="15" t="n">
        <v>-2217.12</v>
      </c>
      <c r="F108" s="16" t="s">
        <v>176</v>
      </c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</row>
    <row r="110" customFormat="false" ht="15" hidden="false" customHeight="false" outlineLevel="0" collapsed="false">
      <c r="A110" s="13" t="s">
        <v>192</v>
      </c>
      <c r="B110" s="14"/>
      <c r="C110" s="14"/>
      <c r="D110" s="14"/>
      <c r="E110" s="14"/>
      <c r="F110" s="14"/>
    </row>
    <row r="111" customFormat="false" ht="15" hidden="false" customHeight="false" outlineLevel="0" collapsed="false">
      <c r="A111" s="2"/>
      <c r="B111" s="10" t="s">
        <v>193</v>
      </c>
      <c r="C111" s="15" t="n">
        <v>36144.14</v>
      </c>
      <c r="D111" s="15" t="n">
        <v>38367.03</v>
      </c>
      <c r="E111" s="15" t="n">
        <v>38752.74</v>
      </c>
      <c r="F111" s="16" t="s">
        <v>194</v>
      </c>
    </row>
    <row r="112" customFormat="false" ht="15" hidden="false" customHeight="false" outlineLevel="0" collapsed="false">
      <c r="A112" s="2"/>
      <c r="B112" s="10" t="s">
        <v>195</v>
      </c>
      <c r="C112" s="19" t="n">
        <v>0.311</v>
      </c>
      <c r="D112" s="19" t="n">
        <v>0.307</v>
      </c>
      <c r="E112" s="19" t="n">
        <v>0.303</v>
      </c>
      <c r="F112" s="16" t="s">
        <v>196</v>
      </c>
    </row>
    <row r="113" customFormat="false" ht="15" hidden="false" customHeight="false" outlineLevel="0" collapsed="false">
      <c r="A113" s="2"/>
      <c r="B113" s="10" t="s">
        <v>197</v>
      </c>
      <c r="C113" s="15" t="n">
        <v>2524.31</v>
      </c>
      <c r="D113" s="15" t="n">
        <v>3019.9</v>
      </c>
      <c r="E113" s="15" t="n">
        <v>2854.34</v>
      </c>
      <c r="F113" s="16" t="s">
        <v>198</v>
      </c>
    </row>
    <row r="114" customFormat="false" ht="15" hidden="false" customHeight="false" outlineLevel="0" collapsed="false">
      <c r="A114" s="2"/>
      <c r="B114" s="10" t="s">
        <v>199</v>
      </c>
      <c r="C114" s="15" t="n">
        <v>354.23</v>
      </c>
      <c r="D114" s="15" t="n">
        <v>368.26</v>
      </c>
      <c r="E114" s="15" t="n">
        <v>342.87</v>
      </c>
      <c r="F114" s="16" t="s">
        <v>200</v>
      </c>
    </row>
    <row r="115" customFormat="false" ht="15" hidden="false" customHeight="false" outlineLevel="0" collapsed="false">
      <c r="A115" s="2"/>
      <c r="B115" s="10" t="s">
        <v>201</v>
      </c>
      <c r="C115" s="15" t="n">
        <v>762.16</v>
      </c>
      <c r="D115" s="15" t="n">
        <v>1021.58</v>
      </c>
      <c r="E115" s="15" t="n">
        <v>785.71</v>
      </c>
      <c r="F115" s="16" t="s">
        <v>202</v>
      </c>
    </row>
    <row r="116" customFormat="false" ht="15" hidden="false" customHeight="false" outlineLevel="0" collapsed="false">
      <c r="A116" s="2"/>
      <c r="B116" s="10" t="s">
        <v>203</v>
      </c>
      <c r="C116" s="15" t="n">
        <v>467.57</v>
      </c>
      <c r="D116" s="15" t="n">
        <v>727.75</v>
      </c>
      <c r="E116" s="15" t="n">
        <v>460.19</v>
      </c>
      <c r="F116" s="16" t="s">
        <v>204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205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206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.85" hidden="false" customHeight="false" outlineLevel="0" collapsed="false">
      <c r="A4" s="4"/>
      <c r="B4" s="4" t="s">
        <v>207</v>
      </c>
      <c r="C4" s="4" t="s">
        <v>64</v>
      </c>
      <c r="D4" s="4" t="s">
        <v>65</v>
      </c>
      <c r="E4" s="4" t="s">
        <v>66</v>
      </c>
      <c r="F4" s="4" t="s">
        <v>208</v>
      </c>
      <c r="G4" s="4" t="s">
        <v>209</v>
      </c>
      <c r="H4" s="4" t="s">
        <v>210</v>
      </c>
    </row>
    <row r="5" customFormat="false" ht="15" hidden="false" customHeight="false" outlineLevel="0" collapsed="false">
      <c r="A5" s="13" t="s">
        <v>211</v>
      </c>
      <c r="B5" s="14"/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A6" s="2"/>
      <c r="B6" s="10" t="s">
        <v>212</v>
      </c>
      <c r="C6" s="20" t="n">
        <f aca="false">Financials!C6</f>
        <v>38367.03</v>
      </c>
      <c r="D6" s="20" t="n">
        <f aca="false">Financials!D6</f>
        <v>38752.74</v>
      </c>
      <c r="E6" s="20" t="n">
        <f aca="false">Financials!E6</f>
        <v>44007.03</v>
      </c>
      <c r="F6" s="21" t="s">
        <v>213</v>
      </c>
      <c r="G6" s="22" t="str">
        <f aca="false">IF(ABS(E6-C6)&lt;=ABS(C6)*0.02,"Stable",IF((E6&gt;C6)=(F6="Higher"),"Improving","Weakening"))</f>
        <v>Improving</v>
      </c>
      <c r="H6" s="16" t="s">
        <v>74</v>
      </c>
    </row>
    <row r="7" customFormat="false" ht="15" hidden="false" customHeight="false" outlineLevel="0" collapsed="false">
      <c r="A7" s="2"/>
      <c r="B7" s="10" t="s">
        <v>214</v>
      </c>
      <c r="C7" s="23" t="n">
        <f aca="false">Financials!C6/Financials!C111-1</f>
        <v>0.0615007024651852</v>
      </c>
      <c r="D7" s="23" t="n">
        <f aca="false">Financials!D6/Financials!D111-1</f>
        <v>0.010053162832776</v>
      </c>
      <c r="E7" s="23" t="n">
        <f aca="false">Financials!E6/Financials!E111-1</f>
        <v>0.13558499347401</v>
      </c>
      <c r="F7" s="21" t="s">
        <v>213</v>
      </c>
      <c r="G7" s="22" t="str">
        <f aca="false">IF(ABS(E7-C7)&lt;=ABS(C7)*0.02,"Stable",IF((E7&gt;C7)=(F7="Higher"),"Improving","Weakening"))</f>
        <v>Improving</v>
      </c>
      <c r="H7" s="16" t="s">
        <v>215</v>
      </c>
    </row>
    <row r="8" customFormat="false" ht="15" hidden="false" customHeight="false" outlineLevel="0" collapsed="false">
      <c r="A8" s="2"/>
      <c r="B8" s="10" t="s">
        <v>216</v>
      </c>
      <c r="C8" s="20" t="n">
        <f aca="false">Financials!C23</f>
        <v>4606.58</v>
      </c>
      <c r="D8" s="20" t="n">
        <f aca="false">Financials!D23</f>
        <v>4930.56</v>
      </c>
      <c r="E8" s="20" t="n">
        <f aca="false">Financials!E23</f>
        <v>5732.25</v>
      </c>
      <c r="F8" s="21" t="s">
        <v>213</v>
      </c>
      <c r="G8" s="22" t="str">
        <f aca="false">IF(ABS(E8-C8)&lt;=ABS(C8)*0.02,"Stable",IF((E8&gt;C8)=(F8="Higher"),"Improving","Weakening"))</f>
        <v>Improving</v>
      </c>
      <c r="H8" s="16" t="s">
        <v>217</v>
      </c>
    </row>
    <row r="9" customFormat="false" ht="15" hidden="false" customHeight="false" outlineLevel="0" collapsed="false">
      <c r="A9" s="2"/>
      <c r="B9" s="10" t="s">
        <v>218</v>
      </c>
      <c r="C9" s="23" t="n">
        <f aca="false">Financials!C23/Financials!C6</f>
        <v>0.120066108843973</v>
      </c>
      <c r="D9" s="23" t="n">
        <f aca="false">Financials!D23/Financials!D6</f>
        <v>0.127231261583052</v>
      </c>
      <c r="E9" s="23" t="n">
        <f aca="false">Financials!E23/Financials!E6</f>
        <v>0.130257597479312</v>
      </c>
      <c r="F9" s="21" t="s">
        <v>213</v>
      </c>
      <c r="G9" s="22" t="str">
        <f aca="false">IF(ABS(E9-C9)&lt;=ABS(C9)*0.02,"Stable",IF((E9&gt;C9)=(F9="Higher"),"Improving","Weakening"))</f>
        <v>Improving</v>
      </c>
      <c r="H9" s="16" t="s">
        <v>219</v>
      </c>
    </row>
    <row r="10" customFormat="false" ht="15" hidden="false" customHeight="false" outlineLevel="0" collapsed="false">
      <c r="A10" s="2"/>
      <c r="B10" s="10" t="s">
        <v>220</v>
      </c>
      <c r="C10" s="20" t="n">
        <f aca="false">Financials!C20</f>
        <v>2617.87</v>
      </c>
      <c r="D10" s="20" t="n">
        <f aca="false">Financials!D20</f>
        <v>3303.29</v>
      </c>
      <c r="E10" s="20" t="n">
        <f aca="false">Financials!E20</f>
        <v>3565.53</v>
      </c>
      <c r="F10" s="21" t="s">
        <v>213</v>
      </c>
      <c r="G10" s="22" t="str">
        <f aca="false">IF(ABS(E10-C10)&lt;=ABS(C10)*0.02,"Stable",IF((E10&gt;C10)=(F10="Higher"),"Improving","Weakening"))</f>
        <v>Improving</v>
      </c>
      <c r="H10" s="16" t="s">
        <v>221</v>
      </c>
    </row>
    <row r="11" customFormat="false" ht="15" hidden="false" customHeight="false" outlineLevel="0" collapsed="false">
      <c r="A11" s="2"/>
      <c r="B11" s="10" t="s">
        <v>222</v>
      </c>
      <c r="C11" s="23" t="n">
        <f aca="false">Financials!C20/Financials!C6</f>
        <v>0.068232281727306</v>
      </c>
      <c r="D11" s="23" t="n">
        <f aca="false">Financials!D20/Financials!D6</f>
        <v>0.0852401662437288</v>
      </c>
      <c r="E11" s="23" t="n">
        <f aca="false">Financials!E20/Financials!E6</f>
        <v>0.0810218276489007</v>
      </c>
      <c r="F11" s="21" t="s">
        <v>213</v>
      </c>
      <c r="G11" s="22" t="str">
        <f aca="false">IF(ABS(E11-C11)&lt;=ABS(C11)*0.02,"Stable",IF((E11&gt;C11)=(F11="Higher"),"Improving","Weakening"))</f>
        <v>Improving</v>
      </c>
      <c r="H11" s="16" t="s">
        <v>223</v>
      </c>
    </row>
    <row r="12" customFormat="false" ht="15" hidden="false" customHeight="false" outlineLevel="0" collapsed="false">
      <c r="A12" s="2"/>
      <c r="B12" s="10" t="s">
        <v>224</v>
      </c>
      <c r="C12" s="23" t="n">
        <f aca="false">Financials!C25/(Financials!C61+Financials!C88)</f>
        <v>0.350031548807941</v>
      </c>
      <c r="D12" s="23" t="n">
        <f aca="false">Financials!D25/(Financials!D61+Financials!D88)</f>
        <v>0.323927292083156</v>
      </c>
      <c r="E12" s="23" t="n">
        <f aca="false">Financials!E25/(Financials!E61+Financials!E88)</f>
        <v>0.350635917492169</v>
      </c>
      <c r="F12" s="21" t="s">
        <v>213</v>
      </c>
      <c r="G12" s="22" t="str">
        <f aca="false">IF(ABS(E12-C12)&lt;=ABS(C12)*0.02,"Stable",IF((E12&gt;C12)=(F12="Higher"),"Improving","Weakening"))</f>
        <v>Stable</v>
      </c>
      <c r="H12" s="16" t="s">
        <v>225</v>
      </c>
    </row>
    <row r="13" customFormat="false" ht="15" hidden="false" customHeight="false" outlineLevel="0" collapsed="false">
      <c r="A13" s="2"/>
      <c r="B13" s="10" t="s">
        <v>226</v>
      </c>
      <c r="C13" s="23" t="n">
        <f aca="false">Financials!C20/Financials!C61</f>
        <v>0.297135080592529</v>
      </c>
      <c r="D13" s="23" t="n">
        <f aca="false">Financials!D20/Financials!D61</f>
        <v>0.286774044843252</v>
      </c>
      <c r="E13" s="23" t="n">
        <f aca="false">Financials!E20/Financials!E61</f>
        <v>0.271899321458475</v>
      </c>
      <c r="F13" s="21" t="s">
        <v>213</v>
      </c>
      <c r="G13" s="22" t="str">
        <f aca="false">IF(ABS(E13-C13)&lt;=ABS(C13)*0.02,"Stable",IF((E13&gt;C13)=(F13="Higher"),"Improving","Weakening"))</f>
        <v>Weakening</v>
      </c>
      <c r="H13" s="16" t="s">
        <v>227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13" t="s">
        <v>228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2"/>
      <c r="B16" s="10" t="s">
        <v>229</v>
      </c>
      <c r="C16" s="20" t="n">
        <f aca="false">Financials!C88</f>
        <v>2299.4</v>
      </c>
      <c r="D16" s="20" t="n">
        <f aca="false">Financials!D88</f>
        <v>1481.72</v>
      </c>
      <c r="E16" s="20" t="n">
        <f aca="false">Financials!E88</f>
        <v>1195.04</v>
      </c>
      <c r="F16" s="21" t="s">
        <v>230</v>
      </c>
      <c r="G16" s="22" t="str">
        <f aca="false">IF(ABS(E16-C16)&lt;=ABS(C16)*0.02,"Stable",IF((E16&gt;C16)=(F16="Higher"),"Improving","Weakening"))</f>
        <v>Improving</v>
      </c>
      <c r="H16" s="16" t="s">
        <v>231</v>
      </c>
    </row>
    <row r="17" customFormat="false" ht="15" hidden="false" customHeight="false" outlineLevel="0" collapsed="false">
      <c r="A17" s="2"/>
      <c r="B17" s="10" t="s">
        <v>232</v>
      </c>
      <c r="C17" s="20" t="n">
        <f aca="false">Financials!C88-Financials!C89</f>
        <v>108.47</v>
      </c>
      <c r="D17" s="20" t="n">
        <f aca="false">Financials!D88-Financials!D89</f>
        <v>-4196.8</v>
      </c>
      <c r="E17" s="20" t="n">
        <f aca="false">Financials!E88-Financials!E89</f>
        <v>-5855.76</v>
      </c>
      <c r="F17" s="21" t="s">
        <v>230</v>
      </c>
      <c r="G17" s="22" t="str">
        <f aca="false">IF(ABS(E17-C17)&lt;=ABS(C17)*0.02,"Stable",IF((E17&gt;C17)=(F17="Higher"),"Improving","Weakening"))</f>
        <v>Improving</v>
      </c>
      <c r="H17" s="16" t="s">
        <v>233</v>
      </c>
    </row>
    <row r="18" customFormat="false" ht="15" hidden="false" customHeight="false" outlineLevel="0" collapsed="false">
      <c r="A18" s="2"/>
      <c r="B18" s="10" t="s">
        <v>234</v>
      </c>
      <c r="C18" s="24" t="n">
        <f aca="false">Financials!C88/Financials!C61</f>
        <v>0.260987904026732</v>
      </c>
      <c r="D18" s="24" t="n">
        <f aca="false">Financials!D88/Financials!D61</f>
        <v>0.128635038923359</v>
      </c>
      <c r="E18" s="24" t="n">
        <f aca="false">Financials!E88/Financials!E61</f>
        <v>0.0911310703081271</v>
      </c>
      <c r="F18" s="21" t="s">
        <v>230</v>
      </c>
      <c r="G18" s="22" t="str">
        <f aca="false">IF(ABS(E18-C18)&lt;=ABS(C18)*0.02,"Stable",IF((E18&gt;C18)=(F18="Higher"),"Improving","Weakening"))</f>
        <v>Improving</v>
      </c>
      <c r="H18" s="16" t="s">
        <v>235</v>
      </c>
    </row>
    <row r="19" customFormat="false" ht="15" hidden="false" customHeight="false" outlineLevel="0" collapsed="false">
      <c r="A19" s="2"/>
      <c r="B19" s="10" t="s">
        <v>236</v>
      </c>
      <c r="C19" s="24" t="n">
        <f aca="false">Financials!C88/Financials!C90</f>
        <v>0.306992305833441</v>
      </c>
      <c r="D19" s="24" t="n">
        <f aca="false">Financials!D88/Financials!D90</f>
        <v>0.145161637952148</v>
      </c>
      <c r="E19" s="24" t="n">
        <f aca="false">Financials!E88/Financials!E90</f>
        <v>0.101357208164622</v>
      </c>
      <c r="F19" s="21" t="s">
        <v>230</v>
      </c>
      <c r="G19" s="22" t="str">
        <f aca="false">IF(ABS(E19-C19)&lt;=ABS(C19)*0.02,"Stable",IF((E19&gt;C19)=(F19="Higher"),"Improving","Weakening"))</f>
        <v>Improving</v>
      </c>
      <c r="H19" s="16" t="s">
        <v>237</v>
      </c>
    </row>
    <row r="20" customFormat="false" ht="15" hidden="false" customHeight="false" outlineLevel="0" collapsed="false">
      <c r="A20" s="2"/>
      <c r="B20" s="10" t="s">
        <v>238</v>
      </c>
      <c r="C20" s="24" t="n">
        <f aca="false">(Financials!C88-Financials!C89)/Financials!C61</f>
        <v>0.0123116282290074</v>
      </c>
      <c r="D20" s="24" t="n">
        <f aca="false">(Financials!D88-Financials!D89)/Financials!D61</f>
        <v>-0.364343824307935</v>
      </c>
      <c r="E20" s="24" t="n">
        <f aca="false">(Financials!E88-Financials!E89)/Financials!E61</f>
        <v>-0.446547125006291</v>
      </c>
      <c r="F20" s="21" t="s">
        <v>230</v>
      </c>
      <c r="G20" s="22" t="str">
        <f aca="false">IF(ABS(E20-C20)&lt;=ABS(C20)*0.02,"Stable",IF((E20&gt;C20)=(F20="Higher"),"Improving","Weakening"))</f>
        <v>Improving</v>
      </c>
      <c r="H20" s="16" t="s">
        <v>239</v>
      </c>
    </row>
    <row r="21" customFormat="false" ht="15" hidden="false" customHeight="false" outlineLevel="0" collapsed="false">
      <c r="A21" s="2"/>
      <c r="B21" s="10" t="s">
        <v>240</v>
      </c>
      <c r="C21" s="24" t="n">
        <f aca="false">Financials!C91/Financials!C90</f>
        <v>1.97612845773549</v>
      </c>
      <c r="D21" s="24" t="n">
        <f aca="false">Financials!D91/Financials!D90</f>
        <v>1.37224635508818</v>
      </c>
      <c r="E21" s="24" t="n">
        <f aca="false">Financials!E91/Financials!E90</f>
        <v>1.31295513800234</v>
      </c>
      <c r="F21" s="21" t="s">
        <v>230</v>
      </c>
      <c r="G21" s="22" t="str">
        <f aca="false">IF(ABS(E21-C21)&lt;=ABS(C21)*0.02,"Stable",IF((E21&gt;C21)=(F21="Higher"),"Improving","Weakening"))</f>
        <v>Improving</v>
      </c>
      <c r="H21" s="16" t="s">
        <v>241</v>
      </c>
    </row>
    <row r="22" customFormat="false" ht="15" hidden="false" customHeight="false" outlineLevel="0" collapsed="false">
      <c r="A22" s="2"/>
      <c r="B22" s="10" t="s">
        <v>242</v>
      </c>
      <c r="C22" s="24" t="n">
        <f aca="false">Financials!C88/Financials!C23</f>
        <v>0.499155555748517</v>
      </c>
      <c r="D22" s="24" t="n">
        <f aca="false">Financials!D88/Financials!D23</f>
        <v>0.300517588265836</v>
      </c>
      <c r="E22" s="24" t="n">
        <f aca="false">Financials!E88/Financials!E23</f>
        <v>0.208476601683458</v>
      </c>
      <c r="F22" s="21" t="s">
        <v>230</v>
      </c>
      <c r="G22" s="22" t="str">
        <f aca="false">IF(ABS(E22-C22)&lt;=ABS(C22)*0.02,"Stable",IF((E22&gt;C22)=(F22="Higher"),"Improving","Weakening"))</f>
        <v>Improving</v>
      </c>
      <c r="H22" s="16" t="s">
        <v>243</v>
      </c>
    </row>
    <row r="23" customFormat="false" ht="15" hidden="false" customHeight="false" outlineLevel="0" collapsed="false">
      <c r="A23" s="2"/>
      <c r="B23" s="10" t="s">
        <v>244</v>
      </c>
      <c r="C23" s="24" t="n">
        <f aca="false">(Financials!C88-Financials!C89)/Financials!C23</f>
        <v>0.0235467526885456</v>
      </c>
      <c r="D23" s="24" t="n">
        <f aca="false">(Financials!D88-Financials!D89)/Financials!D23</f>
        <v>-0.851181204569056</v>
      </c>
      <c r="E23" s="24" t="n">
        <f aca="false">(Financials!E88-Financials!E89)/Financials!E23</f>
        <v>-1.02154651314929</v>
      </c>
      <c r="F23" s="21" t="s">
        <v>230</v>
      </c>
      <c r="G23" s="22" t="str">
        <f aca="false">IF(ABS(E23-C23)&lt;=ABS(C23)*0.02,"Stable",IF((E23&gt;C23)=(F23="Higher"),"Improving","Weakening"))</f>
        <v>Improving</v>
      </c>
      <c r="H23" s="16" t="s">
        <v>245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13" t="s">
        <v>246</v>
      </c>
      <c r="B25" s="14"/>
      <c r="C25" s="14"/>
      <c r="D25" s="14"/>
      <c r="E25" s="14"/>
      <c r="F25" s="14"/>
      <c r="G25" s="14"/>
      <c r="H25" s="14"/>
    </row>
    <row r="26" customFormat="false" ht="22.35" hidden="false" customHeight="false" outlineLevel="0" collapsed="false">
      <c r="A26" s="2"/>
      <c r="B26" s="10" t="s">
        <v>247</v>
      </c>
      <c r="C26" s="24" t="n">
        <f aca="false">Financials!C23/Financials!C14</f>
        <v>18.4676876202694</v>
      </c>
      <c r="D26" s="24" t="n">
        <f aca="false">Financials!D23/Financials!D14</f>
        <v>22.7309022175095</v>
      </c>
      <c r="E26" s="24" t="n">
        <f aca="false">Financials!E23/Financials!E14</f>
        <v>33.7727567312791</v>
      </c>
      <c r="F26" s="21" t="s">
        <v>213</v>
      </c>
      <c r="G26" s="22" t="str">
        <f aca="false">IF(ABS(E26-C26)&lt;=ABS(C26)*0.02,"Stable",IF((E26&gt;C26)=(F26="Higher"),"Improving","Weakening"))</f>
        <v>Improving</v>
      </c>
      <c r="H26" s="16" t="s">
        <v>248</v>
      </c>
    </row>
    <row r="27" customFormat="false" ht="15" hidden="false" customHeight="false" outlineLevel="0" collapsed="false">
      <c r="A27" s="2"/>
      <c r="B27" s="10" t="s">
        <v>249</v>
      </c>
      <c r="C27" s="24" t="n">
        <f aca="false">Financials!C23/Financials!C29</f>
        <v>23.910412124987</v>
      </c>
      <c r="D27" s="24" t="n">
        <f aca="false">Financials!D23/Financials!D29</f>
        <v>34.661230228471</v>
      </c>
      <c r="E27" s="24" t="n">
        <f aca="false">Financials!E23/Financials!E29</f>
        <v>62.7916529740388</v>
      </c>
      <c r="F27" s="21" t="s">
        <v>213</v>
      </c>
      <c r="G27" s="22" t="str">
        <f aca="false">IF(ABS(E27-C27)&lt;=ABS(C27)*0.02,"Stable",IF((E27&gt;C27)=(F27="Higher"),"Improving","Weakening"))</f>
        <v>Improving</v>
      </c>
      <c r="H27" s="16" t="s">
        <v>250</v>
      </c>
    </row>
    <row r="28" customFormat="false" ht="15" hidden="false" customHeight="false" outlineLevel="0" collapsed="false">
      <c r="A28" s="2"/>
      <c r="B28" s="10" t="s">
        <v>251</v>
      </c>
      <c r="C28" s="24" t="n">
        <f aca="false">Financials!C25/Financials!C14</f>
        <v>15.590001603592</v>
      </c>
      <c r="D28" s="24" t="n">
        <f aca="false">Financials!D25/Financials!D14</f>
        <v>19.4145959153566</v>
      </c>
      <c r="E28" s="24" t="n">
        <f aca="false">Financials!E25/Financials!E14</f>
        <v>29.5590643963943</v>
      </c>
      <c r="F28" s="21" t="s">
        <v>213</v>
      </c>
      <c r="G28" s="22" t="str">
        <f aca="false">IF(ABS(E28-C28)&lt;=ABS(C28)*0.02,"Stable",IF((E28&gt;C28)=(F28="Higher"),"Improving","Weakening"))</f>
        <v>Improving</v>
      </c>
      <c r="H28" s="16" t="s">
        <v>252</v>
      </c>
    </row>
    <row r="29" customFormat="false" ht="15" hidden="false" customHeight="false" outlineLevel="0" collapsed="false">
      <c r="A29" s="2"/>
      <c r="B29" s="10" t="s">
        <v>253</v>
      </c>
      <c r="C29" s="24" t="n">
        <f aca="false">(Financials!C23-Financials!C97)/(Financials!C105+Financials!C101+Financials!C104)</f>
        <v>2.90425275871374</v>
      </c>
      <c r="D29" s="24" t="n">
        <f aca="false">(Financials!D23-Financials!D97)/(Financials!D105+Financials!D101+Financials!D104)</f>
        <v>4.44737604779739</v>
      </c>
      <c r="E29" s="24" t="n">
        <f aca="false">(Financials!E23-Financials!E97)/(Financials!E105+Financials!E101+Financials!E104)</f>
        <v>9.51559298418162</v>
      </c>
      <c r="F29" s="21" t="s">
        <v>213</v>
      </c>
      <c r="G29" s="22" t="str">
        <f aca="false">IF(ABS(E29-C29)&lt;=ABS(C29)*0.02,"Stable",IF((E29&gt;C29)=(F29="Higher"),"Improving","Weakening"))</f>
        <v>Improving</v>
      </c>
      <c r="H29" s="16" t="s">
        <v>254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13" t="s">
        <v>255</v>
      </c>
      <c r="B31" s="14"/>
      <c r="C31" s="14"/>
      <c r="D31" s="14"/>
      <c r="E31" s="14"/>
      <c r="F31" s="14"/>
      <c r="G31" s="14"/>
      <c r="H31" s="14"/>
    </row>
    <row r="32" customFormat="false" ht="15" hidden="false" customHeight="false" outlineLevel="0" collapsed="false">
      <c r="A32" s="2"/>
      <c r="B32" s="10" t="s">
        <v>256</v>
      </c>
      <c r="C32" s="20" t="n">
        <f aca="false">Financials!C94</f>
        <v>2503.12</v>
      </c>
      <c r="D32" s="20" t="n">
        <f aca="false">Financials!D94</f>
        <v>7819.42</v>
      </c>
      <c r="E32" s="20" t="n">
        <f aca="false">Financials!E94</f>
        <v>4792.1</v>
      </c>
      <c r="F32" s="21" t="s">
        <v>213</v>
      </c>
      <c r="G32" s="22" t="str">
        <f aca="false">IF(ABS(E32-C32)&lt;=ABS(C32)*0.02,"Stable",IF((E32&gt;C32)=(F32="Higher"),"Improving","Weakening"))</f>
        <v>Improving</v>
      </c>
      <c r="H32" s="16" t="s">
        <v>257</v>
      </c>
    </row>
    <row r="33" customFormat="false" ht="15" hidden="false" customHeight="false" outlineLevel="0" collapsed="false">
      <c r="A33" s="2"/>
      <c r="B33" s="10" t="s">
        <v>258</v>
      </c>
      <c r="C33" s="20" t="n">
        <f aca="false">Financials!C96</f>
        <v>3956.6</v>
      </c>
      <c r="D33" s="20" t="n">
        <f aca="false">Financials!D96</f>
        <v>6365.94</v>
      </c>
      <c r="E33" s="20" t="n">
        <f aca="false">Financials!E96</f>
        <v>4792.1</v>
      </c>
      <c r="F33" s="21" t="s">
        <v>213</v>
      </c>
      <c r="G33" s="22" t="str">
        <f aca="false">IF(ABS(E33-C33)&lt;=ABS(C33)*0.02,"Stable",IF((E33&gt;C33)=(F33="Higher"),"Improving","Weakening"))</f>
        <v>Improving</v>
      </c>
      <c r="H33" s="16" t="s">
        <v>259</v>
      </c>
    </row>
    <row r="34" customFormat="false" ht="15" hidden="false" customHeight="false" outlineLevel="0" collapsed="false">
      <c r="A34" s="2"/>
      <c r="B34" s="10" t="s">
        <v>260</v>
      </c>
      <c r="C34" s="23" t="n">
        <f aca="false">Financials!C96/Financials!C88</f>
        <v>1.72070975036966</v>
      </c>
      <c r="D34" s="23" t="n">
        <f aca="false">Financials!D96/Financials!D88</f>
        <v>4.29631779283535</v>
      </c>
      <c r="E34" s="23" t="n">
        <f aca="false">Financials!E96/Financials!E88</f>
        <v>4.00999129736243</v>
      </c>
      <c r="F34" s="21" t="s">
        <v>213</v>
      </c>
      <c r="G34" s="22" t="str">
        <f aca="false">IF(ABS(E34-C34)&lt;=ABS(C34)*0.02,"Stable",IF((E34&gt;C34)=(F34="Higher"),"Improving","Weakening"))</f>
        <v>Improving</v>
      </c>
      <c r="H34" s="16" t="s">
        <v>260</v>
      </c>
    </row>
    <row r="35" customFormat="false" ht="15" hidden="false" customHeight="false" outlineLevel="0" collapsed="false">
      <c r="A35" s="2"/>
      <c r="B35" s="10" t="s">
        <v>261</v>
      </c>
      <c r="C35" s="20" t="n">
        <f aca="false">Financials!C98</f>
        <v>495.5</v>
      </c>
      <c r="D35" s="20" t="n">
        <f aca="false">Financials!D98</f>
        <v>954.29</v>
      </c>
      <c r="E35" s="20" t="n">
        <f aca="false">Financials!E98</f>
        <v>1049.53</v>
      </c>
      <c r="F35" s="21" t="s">
        <v>262</v>
      </c>
      <c r="G35" s="22" t="s">
        <v>262</v>
      </c>
      <c r="H35" s="16" t="s">
        <v>263</v>
      </c>
    </row>
    <row r="36" customFormat="false" ht="15" hidden="false" customHeight="false" outlineLevel="0" collapsed="false">
      <c r="A36" s="2"/>
      <c r="B36" s="10" t="s">
        <v>264</v>
      </c>
      <c r="C36" s="23" t="n">
        <f aca="false">Financials!C98/Financials!C6</f>
        <v>0.0129147343435236</v>
      </c>
      <c r="D36" s="23" t="n">
        <f aca="false">Financials!D98/Financials!D6</f>
        <v>0.0246250974769784</v>
      </c>
      <c r="E36" s="23" t="n">
        <f aca="false">Financials!E98/Financials!E6</f>
        <v>0.0238491441026581</v>
      </c>
      <c r="F36" s="21" t="s">
        <v>262</v>
      </c>
      <c r="G36" s="22" t="s">
        <v>262</v>
      </c>
      <c r="H36" s="16" t="s">
        <v>265</v>
      </c>
    </row>
    <row r="37" customFormat="false" ht="15" hidden="false" customHeight="false" outlineLevel="0" collapsed="false">
      <c r="A37" s="2"/>
      <c r="B37" s="10" t="s">
        <v>266</v>
      </c>
      <c r="C37" s="24" t="n">
        <f aca="false">Financials!C98/Financials!C15</f>
        <v>0.690294088965047</v>
      </c>
      <c r="D37" s="24" t="n">
        <f aca="false">Financials!D98/Financials!D15</f>
        <v>1.32661884505241</v>
      </c>
      <c r="E37" s="24" t="n">
        <f aca="false">Financials!E98/Financials!E15</f>
        <v>1.46748416504705</v>
      </c>
      <c r="F37" s="21" t="s">
        <v>262</v>
      </c>
      <c r="G37" s="22" t="s">
        <v>262</v>
      </c>
      <c r="H37" s="16" t="s">
        <v>267</v>
      </c>
    </row>
    <row r="38" customFormat="false" ht="15" hidden="false" customHeight="false" outlineLevel="0" collapsed="false">
      <c r="A38" s="2"/>
      <c r="B38" s="10" t="s">
        <v>268</v>
      </c>
      <c r="C38" s="20" t="n">
        <f aca="false">Financials!C96-Financials!C98</f>
        <v>3461.1</v>
      </c>
      <c r="D38" s="20" t="n">
        <f aca="false">Financials!D96-Financials!D98</f>
        <v>5411.65</v>
      </c>
      <c r="E38" s="20" t="n">
        <f aca="false">Financials!E96-Financials!E98</f>
        <v>3742.57</v>
      </c>
      <c r="F38" s="21" t="s">
        <v>213</v>
      </c>
      <c r="G38" s="22" t="str">
        <f aca="false">IF(ABS(E38-C38)&lt;=ABS(C38)*0.02,"Stable",IF((E38&gt;C38)=(F38="Higher"),"Improving","Weakening"))</f>
        <v>Improving</v>
      </c>
      <c r="H38" s="16" t="s">
        <v>269</v>
      </c>
    </row>
    <row r="39" customFormat="false" ht="15" hidden="false" customHeight="false" outlineLevel="0" collapsed="false">
      <c r="A39" s="2"/>
      <c r="B39" s="10" t="s">
        <v>270</v>
      </c>
      <c r="C39" s="20" t="n">
        <f aca="false">Financials!C96-Financials!C98-Financials!C106</f>
        <v>2697.71</v>
      </c>
      <c r="D39" s="20" t="n">
        <f aca="false">Financials!D96-Financials!D98-Financials!D106</f>
        <v>3370.88</v>
      </c>
      <c r="E39" s="20" t="n">
        <f aca="false">Financials!E96-Financials!E98-Financials!E106</f>
        <v>1907.15</v>
      </c>
      <c r="F39" s="21" t="s">
        <v>213</v>
      </c>
      <c r="G39" s="22" t="str">
        <f aca="false">IF(ABS(E39-C39)&lt;=ABS(C39)*0.02,"Stable",IF((E39&gt;C39)=(F39="Higher"),"Improving","Weakening"))</f>
        <v>Weakening</v>
      </c>
      <c r="H39" s="16" t="s">
        <v>271</v>
      </c>
    </row>
    <row r="40" customFormat="false" ht="15" hidden="false" customHeight="false" outlineLevel="0" collapsed="false">
      <c r="A40" s="2"/>
      <c r="B40" s="10" t="s">
        <v>272</v>
      </c>
      <c r="C40" s="23" t="n">
        <f aca="false">Financials!C106/Financials!C20</f>
        <v>0.291607299063743</v>
      </c>
      <c r="D40" s="23" t="n">
        <f aca="false">Financials!D106/Financials!D20</f>
        <v>0.617799224409604</v>
      </c>
      <c r="E40" s="23" t="n">
        <f aca="false">Financials!E106/Financials!E20</f>
        <v>0.514767790482761</v>
      </c>
      <c r="F40" s="21" t="s">
        <v>262</v>
      </c>
      <c r="G40" s="22" t="s">
        <v>262</v>
      </c>
      <c r="H40" s="16" t="s">
        <v>273</v>
      </c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A42" s="13" t="s">
        <v>274</v>
      </c>
      <c r="B42" s="14"/>
      <c r="C42" s="14"/>
      <c r="D42" s="14"/>
      <c r="E42" s="14"/>
      <c r="F42" s="14"/>
      <c r="G42" s="14"/>
      <c r="H42" s="14"/>
    </row>
    <row r="43" customFormat="false" ht="15" hidden="false" customHeight="false" outlineLevel="0" collapsed="false">
      <c r="A43" s="2"/>
      <c r="B43" s="10" t="s">
        <v>275</v>
      </c>
      <c r="C43" s="24" t="n">
        <f aca="false">Financials!C56/Financials!C78</f>
        <v>0.96334221327306</v>
      </c>
      <c r="D43" s="24" t="n">
        <f aca="false">Financials!D56/Financials!D78</f>
        <v>1.07723437419319</v>
      </c>
      <c r="E43" s="24" t="n">
        <f aca="false">Financials!E56/Financials!E78</f>
        <v>1.10020155117869</v>
      </c>
      <c r="F43" s="21" t="s">
        <v>213</v>
      </c>
      <c r="G43" s="22" t="str">
        <f aca="false">IF(ABS(E43-C43)&lt;=ABS(C43)*0.02,"Stable",IF((E43&gt;C43)=(F43="Higher"),"Improving","Weakening"))</f>
        <v>Improving</v>
      </c>
      <c r="H43" s="16" t="s">
        <v>276</v>
      </c>
    </row>
    <row r="44" customFormat="false" ht="15" hidden="false" customHeight="false" outlineLevel="0" collapsed="false">
      <c r="A44" s="2"/>
      <c r="B44" s="10" t="s">
        <v>277</v>
      </c>
      <c r="C44" s="24" t="n">
        <f aca="false">(Financials!C56-Financials!C48)/Financials!C78</f>
        <v>0.698298856074369</v>
      </c>
      <c r="D44" s="24" t="n">
        <f aca="false">(Financials!D56-Financials!D48)/Financials!D78</f>
        <v>0.818413583601797</v>
      </c>
      <c r="E44" s="24" t="n">
        <f aca="false">(Financials!E56-Financials!E48)/Financials!E78</f>
        <v>0.838618736605776</v>
      </c>
      <c r="F44" s="21" t="s">
        <v>213</v>
      </c>
      <c r="G44" s="22" t="str">
        <f aca="false">IF(ABS(E44-C44)&lt;=ABS(C44)*0.02,"Stable",IF((E44&gt;C44)=(F44="Higher"),"Improving","Weakening"))</f>
        <v>Improving</v>
      </c>
      <c r="H44" s="16" t="s">
        <v>278</v>
      </c>
    </row>
    <row r="45" customFormat="false" ht="15" hidden="false" customHeight="false" outlineLevel="0" collapsed="false">
      <c r="A45" s="2"/>
      <c r="B45" s="10" t="s">
        <v>279</v>
      </c>
      <c r="C45" s="24" t="n">
        <f aca="false">Financials!C89/Financials!C78</f>
        <v>0.181995569167587</v>
      </c>
      <c r="D45" s="24" t="n">
        <f aca="false">Financials!D89/Financials!D78</f>
        <v>0.496976666640411</v>
      </c>
      <c r="E45" s="24" t="n">
        <f aca="false">Financials!E89/Financials!E78</f>
        <v>0.529075595949167</v>
      </c>
      <c r="F45" s="21" t="s">
        <v>213</v>
      </c>
      <c r="G45" s="22" t="str">
        <f aca="false">IF(ABS(E45-C45)&lt;=ABS(C45)*0.02,"Stable",IF((E45&gt;C45)=(F45="Higher"),"Improving","Weakening"))</f>
        <v>Improving</v>
      </c>
      <c r="H45" s="16" t="s">
        <v>280</v>
      </c>
    </row>
    <row r="46" customFormat="false" ht="15" hidden="false" customHeight="false" outlineLevel="0" collapsed="false">
      <c r="A46" s="2"/>
      <c r="B46" s="10" t="s">
        <v>281</v>
      </c>
      <c r="C46" s="20" t="n">
        <f aca="false">Financials!C89</f>
        <v>2190.93</v>
      </c>
      <c r="D46" s="20" t="n">
        <f aca="false">Financials!D89</f>
        <v>5678.52</v>
      </c>
      <c r="E46" s="20" t="n">
        <f aca="false">Financials!E89</f>
        <v>7050.8</v>
      </c>
      <c r="F46" s="21" t="s">
        <v>213</v>
      </c>
      <c r="G46" s="22" t="str">
        <f aca="false">IF(ABS(E46-C46)&lt;=ABS(C46)*0.02,"Stable",IF((E46&gt;C46)=(F46="Higher"),"Improving","Weakening"))</f>
        <v>Improving</v>
      </c>
      <c r="H46" s="16" t="s">
        <v>282</v>
      </c>
    </row>
    <row r="47" customFormat="false" ht="22.35" hidden="false" customHeight="false" outlineLevel="0" collapsed="false">
      <c r="A47" s="2"/>
      <c r="B47" s="10" t="s">
        <v>283</v>
      </c>
      <c r="C47" s="24" t="n">
        <f aca="false">(Financials!C89+Financials!C113)/Debt_Analysis!C41</f>
        <v>3.81967823987817</v>
      </c>
      <c r="D47" s="24" t="n">
        <f aca="false">(Financials!D89+Financials!D113)/Debt_Analysis!D41</f>
        <v>14.1661156621012</v>
      </c>
      <c r="E47" s="24" t="n">
        <f aca="false">(Financials!E89+Financials!E113)/Debt_Analysis!E41</f>
        <v>14.1974572505626</v>
      </c>
      <c r="F47" s="21" t="s">
        <v>213</v>
      </c>
      <c r="G47" s="22" t="str">
        <f aca="false">IF(ABS(E47-C47)&lt;=ABS(C47)*0.02,"Stable",IF((E47&gt;C47)=(F47="Higher"),"Improving","Weakening"))</f>
        <v>Improving</v>
      </c>
      <c r="H47" s="16" t="s">
        <v>284</v>
      </c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13" t="s">
        <v>285</v>
      </c>
      <c r="B49" s="14"/>
      <c r="C49" s="14"/>
      <c r="D49" s="14"/>
      <c r="E49" s="14"/>
      <c r="F49" s="14"/>
      <c r="G49" s="14"/>
      <c r="H49" s="14"/>
    </row>
    <row r="50" customFormat="false" ht="15" hidden="false" customHeight="false" outlineLevel="0" collapsed="false">
      <c r="A50" s="2"/>
      <c r="B50" s="10" t="s">
        <v>286</v>
      </c>
      <c r="C50" s="25" t="n">
        <f aca="false">Financials!C48/Financials!C11*365</f>
        <v>41.7240410131696</v>
      </c>
      <c r="D50" s="25" t="n">
        <f aca="false">Financials!D48/Financials!D11*365</f>
        <v>39.0772326319074</v>
      </c>
      <c r="E50" s="25" t="n">
        <f aca="false">Financials!E48/Financials!E11*365</f>
        <v>40.5000996271462</v>
      </c>
      <c r="F50" s="21" t="s">
        <v>230</v>
      </c>
      <c r="G50" s="22" t="str">
        <f aca="false">IF(ABS(E50-C50)&lt;=ABS(C50)*0.02,"Stable",IF((E50&gt;C50)=(F50="Higher"),"Improving","Weakening"))</f>
        <v>Improving</v>
      </c>
      <c r="H50" s="16" t="s">
        <v>287</v>
      </c>
    </row>
    <row r="51" customFormat="false" ht="15" hidden="false" customHeight="false" outlineLevel="0" collapsed="false">
      <c r="A51" s="2"/>
      <c r="B51" s="10" t="s">
        <v>288</v>
      </c>
      <c r="C51" s="25" t="n">
        <f aca="false">Financials!C50/Financials!C6*365</f>
        <v>33.9594242765208</v>
      </c>
      <c r="D51" s="25" t="n">
        <f aca="false">Financials!D50/Financials!D6*365</f>
        <v>27.1947686795824</v>
      </c>
      <c r="E51" s="25" t="n">
        <f aca="false">Financials!E50/Financials!E6*365</f>
        <v>24.4710822339067</v>
      </c>
      <c r="F51" s="21" t="s">
        <v>230</v>
      </c>
      <c r="G51" s="22" t="str">
        <f aca="false">IF(ABS(E51-C51)&lt;=ABS(C51)*0.02,"Stable",IF((E51&gt;C51)=(F51="Higher"),"Improving","Weakening"))</f>
        <v>Improving</v>
      </c>
      <c r="H51" s="16" t="s">
        <v>289</v>
      </c>
    </row>
    <row r="52" customFormat="false" ht="15" hidden="false" customHeight="false" outlineLevel="0" collapsed="false">
      <c r="A52" s="2"/>
      <c r="B52" s="10" t="s">
        <v>290</v>
      </c>
      <c r="C52" s="25" t="n">
        <f aca="false">Financials!C85/Financials!C11*365</f>
        <v>82.4517600129837</v>
      </c>
      <c r="D52" s="25" t="n">
        <f aca="false">Financials!D85/Financials!D11*365</f>
        <v>96.5222128257909</v>
      </c>
      <c r="E52" s="25" t="n">
        <f aca="false">Financials!E85/Financials!E11*365</f>
        <v>96.7681940494902</v>
      </c>
      <c r="F52" s="21" t="s">
        <v>262</v>
      </c>
      <c r="G52" s="22" t="s">
        <v>262</v>
      </c>
      <c r="H52" s="16" t="s">
        <v>291</v>
      </c>
    </row>
    <row r="53" customFormat="false" ht="15" hidden="false" customHeight="false" outlineLevel="0" collapsed="false">
      <c r="A53" s="2"/>
      <c r="B53" s="10" t="s">
        <v>292</v>
      </c>
      <c r="C53" s="25" t="n">
        <f aca="false">C50+C51-C52</f>
        <v>-6.7682947232933</v>
      </c>
      <c r="D53" s="25" t="n">
        <f aca="false">D50+D51-D52</f>
        <v>-30.2502115143011</v>
      </c>
      <c r="E53" s="25" t="n">
        <f aca="false">E50+E51-E52</f>
        <v>-31.7970121884373</v>
      </c>
      <c r="F53" s="21" t="s">
        <v>230</v>
      </c>
      <c r="G53" s="22" t="str">
        <f aca="false">IF(ABS(E53-C53)&lt;=ABS(C53)*0.02,"Stable",IF((E53&gt;C53)=(F53="Higher"),"Improving","Weakening"))</f>
        <v>Improving</v>
      </c>
      <c r="H53" s="16" t="s">
        <v>293</v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" hidden="false" customHeight="false" outlineLevel="0" collapsed="false">
      <c r="A55" s="13" t="s">
        <v>294</v>
      </c>
      <c r="B55" s="14"/>
      <c r="C55" s="14"/>
      <c r="D55" s="14"/>
      <c r="E55" s="14"/>
      <c r="F55" s="14"/>
      <c r="G55" s="14"/>
      <c r="H55" s="14"/>
    </row>
    <row r="56" customFormat="false" ht="15" hidden="false" customHeight="false" outlineLevel="0" collapsed="false">
      <c r="A56" s="2"/>
      <c r="B56" s="10" t="s">
        <v>295</v>
      </c>
      <c r="C56" s="23" t="n">
        <f aca="false">Financials!C114/Financials!C61</f>
        <v>0.0402060299397188</v>
      </c>
      <c r="D56" s="23" t="n">
        <f aca="false">Financials!D114/Financials!D61</f>
        <v>0.0319703718880195</v>
      </c>
      <c r="E56" s="23" t="n">
        <f aca="false">Financials!E114/Financials!E61</f>
        <v>0.026146497252433</v>
      </c>
      <c r="F56" s="21" t="s">
        <v>230</v>
      </c>
      <c r="G56" s="22" t="str">
        <f aca="false">IF(ABS(E56-C56)&lt;=ABS(C56)*0.02,"Stable",IF((E56&gt;C56)=(F56="Higher"),"Improving","Weakening"))</f>
        <v>Improving</v>
      </c>
      <c r="H56" s="16" t="s">
        <v>296</v>
      </c>
    </row>
    <row r="57" customFormat="false" ht="15" hidden="false" customHeight="false" outlineLevel="0" collapsed="false">
      <c r="A57" s="2"/>
      <c r="B57" s="10" t="s">
        <v>297</v>
      </c>
      <c r="C57" s="23" t="n">
        <f aca="false">Financials!C115/Financials!C61</f>
        <v>0.086507150096988</v>
      </c>
      <c r="D57" s="23" t="n">
        <f aca="false">Financials!D115/Financials!D61</f>
        <v>0.0886881347780453</v>
      </c>
      <c r="E57" s="23" t="n">
        <f aca="false">Financials!E115/Financials!E61</f>
        <v>0.0599164825041827</v>
      </c>
      <c r="F57" s="21" t="s">
        <v>230</v>
      </c>
      <c r="G57" s="22" t="str">
        <f aca="false">IF(ABS(E57-C57)&lt;=ABS(C57)*0.02,"Stable",IF((E57&gt;C57)=(F57="Higher"),"Improving","Weakening"))</f>
        <v>Improving</v>
      </c>
      <c r="H57" s="16" t="s">
        <v>298</v>
      </c>
    </row>
    <row r="58" customFormat="false" ht="15" hidden="false" customHeight="false" outlineLevel="0" collapsed="false">
      <c r="A58" s="2"/>
      <c r="B58" s="10" t="s">
        <v>299</v>
      </c>
      <c r="C58" s="23" t="n">
        <f aca="false">Financials!C42/Financials!C61</f>
        <v>0.602779451941292</v>
      </c>
      <c r="D58" s="23" t="n">
        <f aca="false">Financials!D42/Financials!D61</f>
        <v>0.490872739237368</v>
      </c>
      <c r="E58" s="23" t="n">
        <f aca="false">Financials!E42/Financials!E61</f>
        <v>0.500196745013887</v>
      </c>
      <c r="F58" s="21" t="s">
        <v>230</v>
      </c>
      <c r="G58" s="22" t="str">
        <f aca="false">IF(ABS(E58-C58)&lt;=ABS(C58)*0.02,"Stable",IF((E58&gt;C58)=(F58="Higher"),"Improving","Weakening"))</f>
        <v>Improving</v>
      </c>
      <c r="H58" s="16" t="s">
        <v>300</v>
      </c>
    </row>
    <row r="59" customFormat="false" ht="15" hidden="false" customHeight="false" outlineLevel="0" collapsed="false">
      <c r="A59" s="2"/>
      <c r="B59" s="10" t="s">
        <v>301</v>
      </c>
      <c r="C59" s="24" t="n">
        <f aca="false">(Financials!C88+Financials!C115)/Financials!C61</f>
        <v>0.34749505412372</v>
      </c>
      <c r="D59" s="24" t="n">
        <f aca="false">(Financials!D88+Financials!D115)/Financials!D61</f>
        <v>0.217323173701404</v>
      </c>
      <c r="E59" s="24" t="n">
        <f aca="false">(Financials!E88+Financials!E115)/Financials!E61</f>
        <v>0.15104755281231</v>
      </c>
      <c r="F59" s="21" t="s">
        <v>230</v>
      </c>
      <c r="G59" s="22" t="str">
        <f aca="false">IF(ABS(E59-C59)&lt;=ABS(C59)*0.02,"Stable",IF((E59&gt;C59)=(F59="Higher"),"Improving","Weakening"))</f>
        <v>Improving</v>
      </c>
      <c r="H59" s="16" t="s">
        <v>302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5" min="3" style="0" width="14"/>
    <col collapsed="false" customWidth="true" hidden="false" outlineLevel="0" max="6" min="6" style="0" width="66"/>
  </cols>
  <sheetData>
    <row r="1" customFormat="false" ht="17.35" hidden="false" customHeight="false" outlineLevel="0" collapsed="false">
      <c r="A1" s="1" t="s">
        <v>303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6" t="s">
        <v>304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/>
      <c r="B4" s="4" t="s">
        <v>63</v>
      </c>
      <c r="C4" s="4" t="s">
        <v>64</v>
      </c>
      <c r="D4" s="4" t="s">
        <v>65</v>
      </c>
      <c r="E4" s="4" t="s">
        <v>66</v>
      </c>
      <c r="F4" s="4" t="s">
        <v>305</v>
      </c>
    </row>
    <row r="5" customFormat="false" ht="15" hidden="false" customHeight="false" outlineLevel="0" collapsed="false">
      <c r="A5" s="13" t="s">
        <v>306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2"/>
      <c r="B6" s="10" t="s">
        <v>307</v>
      </c>
      <c r="C6" s="15" t="n">
        <v>778.75</v>
      </c>
      <c r="D6" s="15" t="n">
        <v>636.48</v>
      </c>
      <c r="E6" s="15" t="n">
        <v>456.38</v>
      </c>
      <c r="F6" s="16" t="s">
        <v>308</v>
      </c>
    </row>
    <row r="7" customFormat="false" ht="15" hidden="false" customHeight="false" outlineLevel="0" collapsed="false">
      <c r="A7" s="2"/>
      <c r="B7" s="10" t="s">
        <v>309</v>
      </c>
      <c r="C7" s="15" t="n">
        <v>31.18</v>
      </c>
      <c r="D7" s="15" t="n">
        <v>0</v>
      </c>
      <c r="E7" s="15" t="n">
        <v>0</v>
      </c>
      <c r="F7" s="16" t="s">
        <v>310</v>
      </c>
    </row>
    <row r="8" customFormat="false" ht="22.35" hidden="false" customHeight="false" outlineLevel="0" collapsed="false">
      <c r="A8" s="2"/>
      <c r="B8" s="10" t="s">
        <v>311</v>
      </c>
      <c r="C8" s="15" t="n">
        <v>199.33</v>
      </c>
      <c r="D8" s="15" t="n">
        <v>199.34</v>
      </c>
      <c r="E8" s="15" t="n">
        <v>0</v>
      </c>
      <c r="F8" s="16" t="s">
        <v>312</v>
      </c>
    </row>
    <row r="9" customFormat="false" ht="15" hidden="false" customHeight="false" outlineLevel="0" collapsed="false">
      <c r="A9" s="2"/>
      <c r="B9" s="10" t="s">
        <v>313</v>
      </c>
      <c r="C9" s="15" t="n">
        <v>55.97</v>
      </c>
      <c r="D9" s="15" t="n">
        <v>0</v>
      </c>
      <c r="E9" s="15" t="n">
        <v>0</v>
      </c>
      <c r="F9" s="16" t="s">
        <v>314</v>
      </c>
    </row>
    <row r="10" customFormat="false" ht="15" hidden="false" customHeight="false" outlineLevel="0" collapsed="false">
      <c r="A10" s="2"/>
      <c r="B10" s="10" t="s">
        <v>315</v>
      </c>
      <c r="C10" s="15" t="n">
        <v>66.41</v>
      </c>
      <c r="D10" s="15" t="n">
        <v>66.41</v>
      </c>
      <c r="E10" s="15" t="n">
        <v>61.5</v>
      </c>
      <c r="F10" s="16" t="s">
        <v>316</v>
      </c>
    </row>
    <row r="11" customFormat="false" ht="15" hidden="false" customHeight="false" outlineLevel="0" collapsed="false">
      <c r="A11" s="2"/>
      <c r="B11" s="12" t="s">
        <v>140</v>
      </c>
      <c r="C11" s="27" t="n">
        <f aca="false">SUM(C6:C10)</f>
        <v>1131.64</v>
      </c>
      <c r="D11" s="27" t="n">
        <f aca="false">SUM(D6:D10)</f>
        <v>902.23</v>
      </c>
      <c r="E11" s="27" t="n">
        <f aca="false">SUM(E6:E10)</f>
        <v>517.88</v>
      </c>
      <c r="F11" s="16"/>
    </row>
    <row r="12" customFormat="false" ht="15" hidden="false" customHeight="false" outlineLevel="0" collapsed="false">
      <c r="A12" s="2"/>
      <c r="B12" s="10" t="s">
        <v>317</v>
      </c>
      <c r="C12" s="15" t="n">
        <v>250</v>
      </c>
      <c r="D12" s="15" t="n">
        <v>0</v>
      </c>
      <c r="E12" s="15" t="n">
        <v>0</v>
      </c>
      <c r="F12" s="16" t="s">
        <v>318</v>
      </c>
    </row>
    <row r="13" customFormat="false" ht="15" hidden="false" customHeight="false" outlineLevel="0" collapsed="false">
      <c r="A13" s="2"/>
      <c r="B13" s="10" t="s">
        <v>319</v>
      </c>
      <c r="C13" s="15" t="n">
        <v>10.51</v>
      </c>
      <c r="D13" s="15" t="n">
        <v>0</v>
      </c>
      <c r="E13" s="15" t="n">
        <v>0</v>
      </c>
      <c r="F13" s="16" t="s">
        <v>318</v>
      </c>
    </row>
    <row r="14" customFormat="false" ht="22.35" hidden="false" customHeight="false" outlineLevel="0" collapsed="false">
      <c r="A14" s="2"/>
      <c r="B14" s="10" t="s">
        <v>320</v>
      </c>
      <c r="C14" s="15" t="n">
        <v>150</v>
      </c>
      <c r="D14" s="15" t="n">
        <v>150</v>
      </c>
      <c r="E14" s="15" t="n">
        <v>150</v>
      </c>
      <c r="F14" s="16" t="s">
        <v>321</v>
      </c>
    </row>
    <row r="15" customFormat="false" ht="15" hidden="false" customHeight="false" outlineLevel="0" collapsed="false">
      <c r="A15" s="2"/>
      <c r="B15" s="10" t="s">
        <v>322</v>
      </c>
      <c r="C15" s="15" t="n">
        <v>73.8</v>
      </c>
      <c r="D15" s="15" t="n">
        <v>0</v>
      </c>
      <c r="E15" s="15" t="n">
        <v>0</v>
      </c>
      <c r="F15" s="16" t="s">
        <v>318</v>
      </c>
    </row>
    <row r="16" customFormat="false" ht="15" hidden="false" customHeight="false" outlineLevel="0" collapsed="false">
      <c r="A16" s="2"/>
      <c r="B16" s="10" t="s">
        <v>323</v>
      </c>
      <c r="C16" s="15" t="n">
        <v>304.69</v>
      </c>
      <c r="D16" s="15" t="n">
        <v>325.45</v>
      </c>
      <c r="E16" s="15" t="n">
        <v>478.91</v>
      </c>
      <c r="F16" s="16" t="s">
        <v>318</v>
      </c>
    </row>
    <row r="17" customFormat="false" ht="15" hidden="false" customHeight="false" outlineLevel="0" collapsed="false">
      <c r="A17" s="2"/>
      <c r="B17" s="10" t="s">
        <v>324</v>
      </c>
      <c r="C17" s="15" t="n">
        <v>333.89</v>
      </c>
      <c r="D17" s="15" t="n">
        <v>57.76</v>
      </c>
      <c r="E17" s="15" t="n">
        <v>4.91</v>
      </c>
      <c r="F17" s="16" t="s">
        <v>318</v>
      </c>
    </row>
    <row r="18" customFormat="false" ht="15" hidden="false" customHeight="false" outlineLevel="0" collapsed="false">
      <c r="A18" s="2"/>
      <c r="B18" s="12" t="s">
        <v>325</v>
      </c>
      <c r="C18" s="27" t="n">
        <f aca="false">SUM(C12:C17)</f>
        <v>1122.89</v>
      </c>
      <c r="D18" s="27" t="n">
        <f aca="false">SUM(D12:D17)</f>
        <v>533.21</v>
      </c>
      <c r="E18" s="27" t="n">
        <f aca="false">SUM(E12:E17)</f>
        <v>633.82</v>
      </c>
      <c r="F18" s="16"/>
    </row>
    <row r="19" customFormat="false" ht="15" hidden="false" customHeight="false" outlineLevel="0" collapsed="false">
      <c r="A19" s="2"/>
      <c r="B19" s="12" t="s">
        <v>326</v>
      </c>
      <c r="C19" s="27" t="n">
        <f aca="false">C11+C18</f>
        <v>2254.53</v>
      </c>
      <c r="D19" s="27" t="n">
        <f aca="false">D11+D18</f>
        <v>1435.44</v>
      </c>
      <c r="E19" s="27" t="n">
        <f aca="false">E11+E18</f>
        <v>1151.7</v>
      </c>
      <c r="F19" s="16"/>
    </row>
    <row r="20" customFormat="false" ht="15" hidden="false" customHeight="false" outlineLevel="0" collapsed="false">
      <c r="A20" s="2"/>
      <c r="B20" s="10" t="s">
        <v>327</v>
      </c>
      <c r="C20" s="28" t="n">
        <f aca="false">ROUND(C19-Financials!C87,2)</f>
        <v>0</v>
      </c>
      <c r="D20" s="28" t="n">
        <f aca="false">ROUND(D19-Financials!D87,2)</f>
        <v>0</v>
      </c>
      <c r="E20" s="28" t="n">
        <f aca="false">ROUND(E19-Financials!E87,2)</f>
        <v>0</v>
      </c>
      <c r="F20" s="16"/>
    </row>
    <row r="21" customFormat="false" ht="15" hidden="false" customHeight="false" outlineLevel="0" collapsed="false">
      <c r="A21" s="2"/>
      <c r="B21" s="10" t="s">
        <v>328</v>
      </c>
      <c r="C21" s="29" t="n">
        <f aca="false">Financials!C86</f>
        <v>44.87</v>
      </c>
      <c r="D21" s="29" t="n">
        <f aca="false">Financials!D86</f>
        <v>46.28</v>
      </c>
      <c r="E21" s="29" t="n">
        <f aca="false">Financials!E86</f>
        <v>43.34</v>
      </c>
      <c r="F21" s="16"/>
    </row>
    <row r="22" customFormat="false" ht="15" hidden="false" customHeight="false" outlineLevel="0" collapsed="false">
      <c r="A22" s="2"/>
      <c r="B22" s="12" t="s">
        <v>329</v>
      </c>
      <c r="C22" s="27" t="n">
        <f aca="false">C19+C21</f>
        <v>2299.4</v>
      </c>
      <c r="D22" s="27" t="n">
        <f aca="false">D19+D21</f>
        <v>1481.72</v>
      </c>
      <c r="E22" s="27" t="n">
        <f aca="false">E19+E21</f>
        <v>1195.04</v>
      </c>
      <c r="F22" s="16"/>
    </row>
    <row r="23" customFormat="false" ht="15" hidden="false" customHeight="false" outlineLevel="0" collapsed="false">
      <c r="A23" s="2"/>
      <c r="B23" s="10" t="s">
        <v>330</v>
      </c>
      <c r="C23" s="15" t="n">
        <v>2299.4</v>
      </c>
      <c r="D23" s="15" t="n">
        <v>1481.72</v>
      </c>
      <c r="E23" s="15" t="n">
        <v>1195.04</v>
      </c>
      <c r="F23" s="16" t="s">
        <v>331</v>
      </c>
    </row>
    <row r="24" customFormat="false" ht="15" hidden="false" customHeight="false" outlineLevel="0" collapsed="false">
      <c r="A24" s="2"/>
      <c r="B24" s="10" t="s">
        <v>332</v>
      </c>
      <c r="C24" s="28" t="n">
        <f aca="false">ROUND(C22-C23,2)</f>
        <v>0</v>
      </c>
      <c r="D24" s="28" t="n">
        <f aca="false">ROUND(D22-D23,2)</f>
        <v>0</v>
      </c>
      <c r="E24" s="28" t="n">
        <f aca="false">ROUND(E22-E23,2)</f>
        <v>0</v>
      </c>
      <c r="F24" s="16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</row>
    <row r="26" customFormat="false" ht="15" hidden="false" customHeight="false" outlineLevel="0" collapsed="false">
      <c r="A26" s="13" t="s">
        <v>333</v>
      </c>
      <c r="B26" s="14"/>
      <c r="C26" s="14"/>
      <c r="D26" s="14"/>
      <c r="E26" s="14"/>
      <c r="F26" s="14"/>
    </row>
    <row r="27" customFormat="false" ht="15" hidden="false" customHeight="false" outlineLevel="0" collapsed="false">
      <c r="A27" s="2"/>
      <c r="B27" s="10" t="s">
        <v>334</v>
      </c>
      <c r="C27" s="28" t="n">
        <f aca="false">C6+C7+C8+C12+C13+C16</f>
        <v>1574.46</v>
      </c>
      <c r="D27" s="28" t="n">
        <f aca="false">D6+D7+D8+D12+D13+D16</f>
        <v>1161.27</v>
      </c>
      <c r="E27" s="28" t="n">
        <f aca="false">E6+E7+E8+E12+E13+E16</f>
        <v>935.29</v>
      </c>
      <c r="F27" s="16"/>
    </row>
    <row r="28" customFormat="false" ht="15" hidden="false" customHeight="false" outlineLevel="0" collapsed="false">
      <c r="A28" s="2"/>
      <c r="B28" s="10" t="s">
        <v>335</v>
      </c>
      <c r="C28" s="28" t="n">
        <f aca="false">C9+C10+C14+C15+C17</f>
        <v>680.07</v>
      </c>
      <c r="D28" s="28" t="n">
        <f aca="false">D9+D10+D14+D15+D17</f>
        <v>274.17</v>
      </c>
      <c r="E28" s="28" t="n">
        <f aca="false">E9+E10+E14+E15+E17</f>
        <v>216.41</v>
      </c>
      <c r="F28" s="16"/>
    </row>
    <row r="29" customFormat="false" ht="15" hidden="false" customHeight="false" outlineLevel="0" collapsed="false">
      <c r="A29" s="2"/>
      <c r="B29" s="10" t="s">
        <v>336</v>
      </c>
      <c r="C29" s="23" t="n">
        <f aca="false">C27/C19</f>
        <v>0.698353980652287</v>
      </c>
      <c r="D29" s="23" t="n">
        <f aca="false">D27/D19</f>
        <v>0.808999331215516</v>
      </c>
      <c r="E29" s="23" t="n">
        <f aca="false">E27/E19</f>
        <v>0.812095163671095</v>
      </c>
      <c r="F29" s="16"/>
    </row>
    <row r="30" customFormat="false" ht="15" hidden="false" customHeight="false" outlineLevel="0" collapsed="false">
      <c r="A30" s="2"/>
      <c r="B30" s="10" t="s">
        <v>337</v>
      </c>
      <c r="C30" s="28" t="n">
        <f aca="false">SUM(C12:C15)</f>
        <v>484.31</v>
      </c>
      <c r="D30" s="28" t="n">
        <f aca="false">SUM(D12:D15)</f>
        <v>150</v>
      </c>
      <c r="E30" s="28" t="n">
        <f aca="false">SUM(E12:E15)</f>
        <v>150</v>
      </c>
      <c r="F30" s="16"/>
    </row>
    <row r="31" customFormat="false" ht="15" hidden="false" customHeight="false" outlineLevel="0" collapsed="false">
      <c r="A31" s="2"/>
      <c r="B31" s="10" t="s">
        <v>338</v>
      </c>
      <c r="C31" s="23" t="n">
        <f aca="false">C30/C19</f>
        <v>0.214816391886557</v>
      </c>
      <c r="D31" s="23" t="n">
        <f aca="false">D30/D19</f>
        <v>0.104497575656245</v>
      </c>
      <c r="E31" s="23" t="n">
        <f aca="false">E30/E19</f>
        <v>0.13024225058609</v>
      </c>
      <c r="F31" s="16"/>
    </row>
    <row r="32" customFormat="false" ht="15" hidden="false" customHeight="false" outlineLevel="0" collapsed="false">
      <c r="A32" s="2"/>
      <c r="B32" s="10" t="s">
        <v>339</v>
      </c>
      <c r="C32" s="15" t="n">
        <v>358.75</v>
      </c>
      <c r="D32" s="15" t="n">
        <v>402</v>
      </c>
      <c r="E32" s="15" t="n">
        <v>403.13</v>
      </c>
      <c r="F32" s="16" t="s">
        <v>340</v>
      </c>
    </row>
    <row r="33" customFormat="false" ht="15" hidden="false" customHeight="false" outlineLevel="0" collapsed="false">
      <c r="A33" s="2"/>
      <c r="B33" s="10" t="s">
        <v>341</v>
      </c>
      <c r="C33" s="15" t="n">
        <v>1830.45</v>
      </c>
      <c r="D33" s="15" t="n">
        <v>967.69</v>
      </c>
      <c r="E33" s="15" t="n">
        <v>682.5</v>
      </c>
      <c r="F33" s="16" t="s">
        <v>342</v>
      </c>
    </row>
    <row r="34" customFormat="false" ht="15" hidden="false" customHeight="false" outlineLevel="0" collapsed="false">
      <c r="A34" s="2"/>
      <c r="B34" s="10" t="s">
        <v>343</v>
      </c>
      <c r="C34" s="23" t="n">
        <f aca="false">C32/(C32+C33)</f>
        <v>0.163872647542481</v>
      </c>
      <c r="D34" s="23" t="n">
        <f aca="false">D32/(D32+D33)</f>
        <v>0.293497068679774</v>
      </c>
      <c r="E34" s="23" t="n">
        <f aca="false">E32/(E32+E33)</f>
        <v>0.371332774518022</v>
      </c>
      <c r="F34" s="16"/>
    </row>
    <row r="35" customFormat="false" ht="15" hidden="false" customHeight="false" outlineLevel="0" collapsed="false">
      <c r="A35" s="2"/>
      <c r="B35" s="10" t="s">
        <v>344</v>
      </c>
      <c r="C35" s="15" t="n">
        <v>0.45</v>
      </c>
      <c r="D35" s="15" t="n">
        <v>0.5</v>
      </c>
      <c r="E35" s="15" t="n">
        <v>1.01</v>
      </c>
      <c r="F35" s="16" t="s">
        <v>345</v>
      </c>
    </row>
    <row r="36" customFormat="false" ht="15" hidden="false" customHeight="false" outlineLevel="0" collapsed="false">
      <c r="A36" s="2"/>
      <c r="B36" s="10" t="s">
        <v>346</v>
      </c>
      <c r="C36" s="30" t="n">
        <v>0.0754</v>
      </c>
      <c r="D36" s="30" t="n">
        <v>0.0722</v>
      </c>
      <c r="E36" s="30" t="n">
        <v>0.0683</v>
      </c>
      <c r="F36" s="16" t="s">
        <v>347</v>
      </c>
    </row>
    <row r="37" customFormat="false" ht="15" hidden="false" customHeight="false" outlineLevel="0" collapsed="false">
      <c r="A37" s="2"/>
      <c r="B37" s="10" t="s">
        <v>348</v>
      </c>
      <c r="C37" s="30" t="n">
        <v>0.0739</v>
      </c>
      <c r="D37" s="30" t="n">
        <v>0.073</v>
      </c>
      <c r="E37" s="30" t="n">
        <v>0.063</v>
      </c>
      <c r="F37" s="16" t="s">
        <v>349</v>
      </c>
    </row>
    <row r="38" customFormat="false" ht="15" hidden="false" customHeight="false" outlineLevel="0" collapsed="false">
      <c r="A38" s="2"/>
      <c r="B38" s="10" t="s">
        <v>350</v>
      </c>
      <c r="C38" s="31" t="n">
        <f aca="false">Financials!C29/AVERAGE(Financials!C87,C97)</f>
        <v>0.0709008708964548</v>
      </c>
      <c r="D38" s="31" t="n">
        <f aca="false">Financials!D29/AVERAGE(Financials!D87,Financials!C87)</f>
        <v>0.0771008978392778</v>
      </c>
      <c r="E38" s="31" t="n">
        <f aca="false">Financials!E29/AVERAGE(Financials!E87,Financials!D87)</f>
        <v>0.0705721375727638</v>
      </c>
      <c r="F38" s="16" t="s">
        <v>351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</row>
    <row r="40" customFormat="false" ht="15" hidden="false" customHeight="false" outlineLevel="0" collapsed="false">
      <c r="A40" s="13" t="s">
        <v>352</v>
      </c>
      <c r="B40" s="14"/>
      <c r="C40" s="14"/>
      <c r="D40" s="14"/>
      <c r="E40" s="14"/>
      <c r="F40" s="14"/>
    </row>
    <row r="41" customFormat="false" ht="15" hidden="false" customHeight="false" outlineLevel="0" collapsed="false">
      <c r="A41" s="2"/>
      <c r="B41" s="10" t="s">
        <v>353</v>
      </c>
      <c r="C41" s="15" t="n">
        <v>1234.46</v>
      </c>
      <c r="D41" s="15" t="n">
        <v>614.03</v>
      </c>
      <c r="E41" s="15" t="n">
        <v>697.67</v>
      </c>
      <c r="F41" s="16" t="s">
        <v>354</v>
      </c>
    </row>
    <row r="42" customFormat="false" ht="15" hidden="false" customHeight="false" outlineLevel="0" collapsed="false">
      <c r="A42" s="2"/>
      <c r="B42" s="10" t="s">
        <v>355</v>
      </c>
      <c r="C42" s="15" t="n">
        <v>1252.74</v>
      </c>
      <c r="D42" s="15" t="n">
        <v>945.77</v>
      </c>
      <c r="E42" s="15" t="n">
        <v>558.53</v>
      </c>
      <c r="F42" s="16" t="s">
        <v>354</v>
      </c>
    </row>
    <row r="43" customFormat="false" ht="15" hidden="false" customHeight="false" outlineLevel="0" collapsed="false">
      <c r="A43" s="2"/>
      <c r="B43" s="10" t="s">
        <v>356</v>
      </c>
      <c r="C43" s="15" t="n">
        <v>0</v>
      </c>
      <c r="D43" s="15" t="n">
        <v>62.16</v>
      </c>
      <c r="E43" s="15" t="n">
        <v>16.91</v>
      </c>
      <c r="F43" s="16" t="s">
        <v>354</v>
      </c>
    </row>
    <row r="44" customFormat="false" ht="15" hidden="false" customHeight="false" outlineLevel="0" collapsed="false">
      <c r="A44" s="2"/>
      <c r="B44" s="12" t="s">
        <v>357</v>
      </c>
      <c r="C44" s="27" t="n">
        <f aca="false">SUM(C41:C43)</f>
        <v>2487.2</v>
      </c>
      <c r="D44" s="27" t="n">
        <f aca="false">SUM(D41:D43)</f>
        <v>1621.96</v>
      </c>
      <c r="E44" s="27" t="n">
        <f aca="false">SUM(E41:E43)</f>
        <v>1273.11</v>
      </c>
      <c r="F44" s="16"/>
    </row>
    <row r="45" customFormat="false" ht="15" hidden="false" customHeight="false" outlineLevel="0" collapsed="false">
      <c r="A45" s="2"/>
      <c r="B45" s="10" t="s">
        <v>358</v>
      </c>
      <c r="C45" s="15" t="n">
        <v>19.2</v>
      </c>
      <c r="D45" s="15" t="n">
        <v>18.42</v>
      </c>
      <c r="E45" s="15" t="n">
        <v>18.31</v>
      </c>
      <c r="F45" s="16" t="s">
        <v>354</v>
      </c>
    </row>
    <row r="46" customFormat="false" ht="15" hidden="false" customHeight="false" outlineLevel="0" collapsed="false">
      <c r="A46" s="2"/>
      <c r="B46" s="10" t="s">
        <v>359</v>
      </c>
      <c r="C46" s="15" t="n">
        <v>26.97</v>
      </c>
      <c r="D46" s="15" t="n">
        <v>23.67</v>
      </c>
      <c r="E46" s="15" t="n">
        <v>25.85</v>
      </c>
      <c r="F46" s="16" t="s">
        <v>354</v>
      </c>
    </row>
    <row r="47" customFormat="false" ht="15" hidden="false" customHeight="false" outlineLevel="0" collapsed="false">
      <c r="A47" s="2"/>
      <c r="B47" s="10" t="s">
        <v>360</v>
      </c>
      <c r="C47" s="15" t="n">
        <v>26.39</v>
      </c>
      <c r="D47" s="15" t="n">
        <v>33.12</v>
      </c>
      <c r="E47" s="15" t="n">
        <v>35.16</v>
      </c>
      <c r="F47" s="16" t="s">
        <v>354</v>
      </c>
    </row>
    <row r="48" customFormat="false" ht="15" hidden="false" customHeight="false" outlineLevel="0" collapsed="false">
      <c r="A48" s="2"/>
      <c r="B48" s="10" t="s">
        <v>361</v>
      </c>
      <c r="C48" s="23" t="n">
        <f aca="false">C41/C44</f>
        <v>0.496325184946928</v>
      </c>
      <c r="D48" s="23" t="n">
        <f aca="false">D41/D44</f>
        <v>0.378572837801179</v>
      </c>
      <c r="E48" s="23" t="n">
        <f aca="false">E41/E44</f>
        <v>0.548004492934625</v>
      </c>
      <c r="F48" s="16"/>
    </row>
    <row r="49" customFormat="false" ht="15" hidden="false" customHeight="false" outlineLevel="0" collapsed="false">
      <c r="A49" s="2"/>
      <c r="B49" s="10" t="s">
        <v>362</v>
      </c>
      <c r="C49" s="23" t="n">
        <f aca="false">C42/C44</f>
        <v>0.503674815053072</v>
      </c>
      <c r="D49" s="23" t="n">
        <f aca="false">D42/D44</f>
        <v>0.583103159140793</v>
      </c>
      <c r="E49" s="23" t="n">
        <f aca="false">E42/E44</f>
        <v>0.438713072711706</v>
      </c>
      <c r="F49" s="16"/>
    </row>
    <row r="50" customFormat="false" ht="15" hidden="false" customHeight="false" outlineLevel="0" collapsed="false">
      <c r="A50" s="2"/>
      <c r="B50" s="10" t="s">
        <v>363</v>
      </c>
      <c r="C50" s="23" t="n">
        <f aca="false">C43/C44</f>
        <v>0</v>
      </c>
      <c r="D50" s="23" t="n">
        <f aca="false">D43/D44</f>
        <v>0.0383240030580286</v>
      </c>
      <c r="E50" s="23" t="n">
        <f aca="false">E43/E44</f>
        <v>0.0132824343536694</v>
      </c>
      <c r="F50" s="16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</row>
    <row r="52" customFormat="false" ht="15" hidden="false" customHeight="false" outlineLevel="0" collapsed="false">
      <c r="A52" s="13" t="s">
        <v>364</v>
      </c>
      <c r="B52" s="14"/>
      <c r="C52" s="14"/>
      <c r="D52" s="14"/>
      <c r="E52" s="14"/>
      <c r="F52" s="14"/>
    </row>
    <row r="53" customFormat="false" ht="15" hidden="false" customHeight="false" outlineLevel="0" collapsed="false">
      <c r="A53" s="2"/>
      <c r="B53" s="10" t="s">
        <v>170</v>
      </c>
      <c r="C53" s="29" t="n">
        <f aca="false">Financials!C89</f>
        <v>2190.93</v>
      </c>
      <c r="D53" s="29" t="n">
        <f aca="false">Financials!D89</f>
        <v>5678.52</v>
      </c>
      <c r="E53" s="29" t="n">
        <f aca="false">Financials!E89</f>
        <v>7050.8</v>
      </c>
      <c r="F53" s="16"/>
    </row>
    <row r="54" customFormat="false" ht="15" hidden="false" customHeight="false" outlineLevel="0" collapsed="false">
      <c r="A54" s="2"/>
      <c r="B54" s="10" t="s">
        <v>365</v>
      </c>
      <c r="C54" s="29" t="n">
        <f aca="false">Financials!C113</f>
        <v>2524.31</v>
      </c>
      <c r="D54" s="29" t="n">
        <f aca="false">Financials!D113</f>
        <v>3019.9</v>
      </c>
      <c r="E54" s="29" t="n">
        <f aca="false">Financials!E113</f>
        <v>2854.34</v>
      </c>
      <c r="F54" s="16"/>
    </row>
    <row r="55" customFormat="false" ht="15" hidden="false" customHeight="false" outlineLevel="0" collapsed="false">
      <c r="A55" s="2"/>
      <c r="B55" s="10" t="s">
        <v>366</v>
      </c>
      <c r="C55" s="15" t="n">
        <v>2000</v>
      </c>
      <c r="D55" s="15" t="n">
        <v>2000</v>
      </c>
      <c r="E55" s="15" t="n">
        <v>2000</v>
      </c>
      <c r="F55" s="16" t="s">
        <v>367</v>
      </c>
    </row>
    <row r="56" customFormat="false" ht="15" hidden="false" customHeight="false" outlineLevel="0" collapsed="false">
      <c r="A56" s="2"/>
      <c r="B56" s="10" t="s">
        <v>368</v>
      </c>
      <c r="C56" s="24" t="n">
        <f aca="false">C53/C41</f>
        <v>1.77480841825576</v>
      </c>
      <c r="D56" s="24" t="n">
        <f aca="false">D53/D41</f>
        <v>9.24795205445988</v>
      </c>
      <c r="E56" s="24" t="n">
        <f aca="false">E53/E41</f>
        <v>10.1062106726676</v>
      </c>
      <c r="F56" s="16"/>
    </row>
    <row r="57" customFormat="false" ht="15" hidden="false" customHeight="false" outlineLevel="0" collapsed="false">
      <c r="A57" s="2"/>
      <c r="B57" s="10" t="s">
        <v>369</v>
      </c>
      <c r="C57" s="24" t="n">
        <f aca="false">(C53+C54)/C41</f>
        <v>3.81967823987817</v>
      </c>
      <c r="D57" s="24" t="n">
        <f aca="false">(D53+D54)/D41</f>
        <v>14.1661156621012</v>
      </c>
      <c r="E57" s="24" t="n">
        <f aca="false">(E53+E54)/E41</f>
        <v>14.1974572505626</v>
      </c>
      <c r="F57" s="16"/>
    </row>
    <row r="58" customFormat="false" ht="15" hidden="false" customHeight="false" outlineLevel="0" collapsed="false">
      <c r="A58" s="2"/>
      <c r="B58" s="10" t="s">
        <v>370</v>
      </c>
      <c r="C58" s="24" t="n">
        <f aca="false">Financials!C96/C41</f>
        <v>3.20512612802359</v>
      </c>
      <c r="D58" s="24" t="n">
        <f aca="false">Financials!D96/D41</f>
        <v>10.3674739019266</v>
      </c>
      <c r="E58" s="24" t="n">
        <f aca="false">Financials!E96/E41</f>
        <v>6.86872016856107</v>
      </c>
      <c r="F58" s="16"/>
    </row>
    <row r="59" customFormat="false" ht="15" hidden="false" customHeight="false" outlineLevel="0" collapsed="false">
      <c r="A59" s="2"/>
      <c r="B59" s="10" t="s">
        <v>371</v>
      </c>
      <c r="C59" s="24" t="n">
        <f aca="false">C53/C22</f>
        <v>0.952826824388971</v>
      </c>
      <c r="D59" s="24" t="n">
        <f aca="false">D53/D22</f>
        <v>3.83238398617823</v>
      </c>
      <c r="E59" s="24" t="n">
        <f aca="false">E53/E22</f>
        <v>5.90005355469273</v>
      </c>
      <c r="F59" s="16"/>
    </row>
    <row r="60" customFormat="false" ht="15" hidden="false" customHeight="false" outlineLevel="0" collapsed="false">
      <c r="A60" s="2"/>
      <c r="B60" s="12" t="s">
        <v>372</v>
      </c>
      <c r="C60" s="27" t="n">
        <f aca="false">C22-C53</f>
        <v>108.47</v>
      </c>
      <c r="D60" s="27" t="n">
        <f aca="false">D22-D53</f>
        <v>-4196.8</v>
      </c>
      <c r="E60" s="27" t="n">
        <f aca="false">E22-E53</f>
        <v>-5855.76</v>
      </c>
      <c r="F60" s="16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</row>
    <row r="62" customFormat="false" ht="15" hidden="false" customHeight="false" outlineLevel="0" collapsed="false">
      <c r="A62" s="13" t="s">
        <v>373</v>
      </c>
      <c r="B62" s="14"/>
      <c r="C62" s="14"/>
      <c r="D62" s="14"/>
      <c r="E62" s="14"/>
      <c r="F62" s="14"/>
    </row>
    <row r="63" customFormat="false" ht="15" hidden="false" customHeight="false" outlineLevel="0" collapsed="false">
      <c r="A63" s="2"/>
      <c r="B63" s="10" t="s">
        <v>374</v>
      </c>
      <c r="C63" s="29" t="n">
        <f aca="false">Financials!C100</f>
        <v>0</v>
      </c>
      <c r="D63" s="29" t="n">
        <f aca="false">Financials!D100</f>
        <v>247</v>
      </c>
      <c r="E63" s="29" t="n">
        <f aca="false">Financials!E100</f>
        <v>103</v>
      </c>
      <c r="F63" s="16"/>
    </row>
    <row r="64" customFormat="false" ht="15" hidden="false" customHeight="false" outlineLevel="0" collapsed="false">
      <c r="A64" s="2"/>
      <c r="B64" s="10" t="s">
        <v>375</v>
      </c>
      <c r="C64" s="29" t="n">
        <f aca="false">-Financials!C101</f>
        <v>-1104.98</v>
      </c>
      <c r="D64" s="29" t="n">
        <f aca="false">-Financials!D101</f>
        <v>-688.73</v>
      </c>
      <c r="E64" s="29" t="n">
        <f aca="false">-Financials!E101</f>
        <v>-379.6</v>
      </c>
      <c r="F64" s="16"/>
    </row>
    <row r="65" customFormat="false" ht="15" hidden="false" customHeight="false" outlineLevel="0" collapsed="false">
      <c r="A65" s="2"/>
      <c r="B65" s="10" t="s">
        <v>376</v>
      </c>
      <c r="C65" s="29" t="n">
        <f aca="false">Financials!C102-Financials!C103</f>
        <v>215.36</v>
      </c>
      <c r="D65" s="29" t="n">
        <f aca="false">Financials!D102-Financials!D103</f>
        <v>-334.28</v>
      </c>
      <c r="E65" s="29" t="n">
        <f aca="false">Financials!E102-Financials!E103</f>
        <v>0</v>
      </c>
      <c r="F65" s="16"/>
    </row>
    <row r="66" customFormat="false" ht="15" hidden="false" customHeight="false" outlineLevel="0" collapsed="false">
      <c r="A66" s="2"/>
      <c r="B66" s="12" t="s">
        <v>377</v>
      </c>
      <c r="C66" s="27" t="n">
        <f aca="false">SUM(C63:C65)</f>
        <v>-889.62</v>
      </c>
      <c r="D66" s="27" t="n">
        <f aca="false">SUM(D63:D65)</f>
        <v>-776.01</v>
      </c>
      <c r="E66" s="27" t="n">
        <f aca="false">SUM(E63:E65)</f>
        <v>-276.6</v>
      </c>
      <c r="F66" s="16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</row>
    <row r="68" customFormat="false" ht="15" hidden="false" customHeight="false" outlineLevel="0" collapsed="false">
      <c r="A68" s="13" t="s">
        <v>378</v>
      </c>
      <c r="B68" s="14"/>
      <c r="C68" s="14"/>
      <c r="D68" s="14"/>
      <c r="E68" s="14"/>
      <c r="F68" s="14"/>
    </row>
    <row r="69" customFormat="false" ht="15" hidden="false" customHeight="false" outlineLevel="0" collapsed="false">
      <c r="A69" s="2"/>
      <c r="B69" s="10" t="s">
        <v>379</v>
      </c>
      <c r="C69" s="15" t="n">
        <v>244.28</v>
      </c>
      <c r="D69" s="15" t="n">
        <v>260.03</v>
      </c>
      <c r="E69" s="15" t="n">
        <v>232.34</v>
      </c>
      <c r="F69" s="16" t="s">
        <v>380</v>
      </c>
    </row>
    <row r="70" customFormat="false" ht="15" hidden="false" customHeight="false" outlineLevel="0" collapsed="false">
      <c r="A70" s="2"/>
      <c r="B70" s="10" t="s">
        <v>381</v>
      </c>
      <c r="C70" s="15" t="n">
        <v>9.2</v>
      </c>
      <c r="D70" s="15" t="n">
        <v>9.03</v>
      </c>
      <c r="E70" s="15" t="n">
        <v>8.92</v>
      </c>
      <c r="F70" s="16" t="s">
        <v>380</v>
      </c>
    </row>
    <row r="71" customFormat="false" ht="15" hidden="false" customHeight="false" outlineLevel="0" collapsed="false">
      <c r="A71" s="2"/>
      <c r="B71" s="10" t="s">
        <v>382</v>
      </c>
      <c r="C71" s="15" t="n">
        <v>59.81</v>
      </c>
      <c r="D71" s="15" t="n">
        <v>59.36</v>
      </c>
      <c r="E71" s="15" t="n">
        <v>24.06</v>
      </c>
      <c r="F71" s="16" t="s">
        <v>380</v>
      </c>
    </row>
    <row r="72" customFormat="false" ht="15" hidden="false" customHeight="false" outlineLevel="0" collapsed="false">
      <c r="A72" s="2"/>
      <c r="B72" s="10" t="s">
        <v>383</v>
      </c>
      <c r="C72" s="15" t="n">
        <v>0.43</v>
      </c>
      <c r="D72" s="15" t="n">
        <v>0.43</v>
      </c>
      <c r="E72" s="15" t="n">
        <v>0.41</v>
      </c>
      <c r="F72" s="16" t="s">
        <v>380</v>
      </c>
    </row>
    <row r="73" customFormat="false" ht="15" hidden="false" customHeight="false" outlineLevel="0" collapsed="false">
      <c r="A73" s="2"/>
      <c r="B73" s="10" t="s">
        <v>384</v>
      </c>
      <c r="C73" s="15" t="n">
        <v>40.51</v>
      </c>
      <c r="D73" s="15" t="n">
        <v>39.41</v>
      </c>
      <c r="E73" s="15" t="n">
        <v>77.14</v>
      </c>
      <c r="F73" s="16" t="s">
        <v>380</v>
      </c>
    </row>
    <row r="74" customFormat="false" ht="15" hidden="false" customHeight="false" outlineLevel="0" collapsed="false">
      <c r="A74" s="2"/>
      <c r="B74" s="12" t="s">
        <v>385</v>
      </c>
      <c r="C74" s="27" t="n">
        <f aca="false">SUM(C69:C73)</f>
        <v>354.23</v>
      </c>
      <c r="D74" s="27" t="n">
        <f aca="false">SUM(D69:D73)</f>
        <v>368.26</v>
      </c>
      <c r="E74" s="27" t="n">
        <f aca="false">SUM(E69:E73)</f>
        <v>342.87</v>
      </c>
      <c r="F74" s="16"/>
    </row>
    <row r="75" customFormat="false" ht="15" hidden="false" customHeight="false" outlineLevel="0" collapsed="false">
      <c r="A75" s="2"/>
      <c r="B75" s="10" t="s">
        <v>386</v>
      </c>
      <c r="C75" s="28" t="n">
        <f aca="false">ROUND(C74-Financials!C114,2)</f>
        <v>0</v>
      </c>
      <c r="D75" s="28" t="n">
        <f aca="false">ROUND(D74-Financials!D114,2)</f>
        <v>0</v>
      </c>
      <c r="E75" s="28" t="n">
        <f aca="false">ROUND(E74-Financials!E114,2)</f>
        <v>0</v>
      </c>
      <c r="F75" s="16"/>
    </row>
    <row r="76" customFormat="false" ht="15" hidden="false" customHeight="false" outlineLevel="0" collapsed="false">
      <c r="A76" s="2"/>
      <c r="B76" s="10" t="s">
        <v>387</v>
      </c>
      <c r="C76" s="15" t="n">
        <v>601.57</v>
      </c>
      <c r="D76" s="15" t="n">
        <v>891.9</v>
      </c>
      <c r="E76" s="15" t="n">
        <v>633.12</v>
      </c>
      <c r="F76" s="16" t="s">
        <v>388</v>
      </c>
    </row>
    <row r="77" customFormat="false" ht="15" hidden="false" customHeight="false" outlineLevel="0" collapsed="false">
      <c r="A77" s="2"/>
      <c r="B77" s="10" t="s">
        <v>389</v>
      </c>
      <c r="C77" s="15" t="n">
        <v>125.83</v>
      </c>
      <c r="D77" s="15" t="n">
        <v>128.93</v>
      </c>
      <c r="E77" s="15" t="n">
        <v>152.59</v>
      </c>
      <c r="F77" s="16" t="s">
        <v>390</v>
      </c>
    </row>
    <row r="78" customFormat="false" ht="15" hidden="false" customHeight="false" outlineLevel="0" collapsed="false">
      <c r="A78" s="2"/>
      <c r="B78" s="10" t="s">
        <v>391</v>
      </c>
      <c r="C78" s="15" t="n">
        <v>31.51</v>
      </c>
      <c r="D78" s="15" t="n">
        <v>0</v>
      </c>
      <c r="E78" s="15" t="n">
        <v>0</v>
      </c>
      <c r="F78" s="16" t="s">
        <v>390</v>
      </c>
    </row>
    <row r="79" customFormat="false" ht="15" hidden="false" customHeight="false" outlineLevel="0" collapsed="false">
      <c r="A79" s="2"/>
      <c r="B79" s="10" t="s">
        <v>392</v>
      </c>
      <c r="C79" s="15" t="n">
        <v>3.25</v>
      </c>
      <c r="D79" s="15" t="n">
        <v>0.75</v>
      </c>
      <c r="E79" s="15" t="n">
        <v>0</v>
      </c>
      <c r="F79" s="16" t="s">
        <v>390</v>
      </c>
    </row>
    <row r="80" customFormat="false" ht="15" hidden="false" customHeight="false" outlineLevel="0" collapsed="false">
      <c r="A80" s="2"/>
      <c r="B80" s="12" t="s">
        <v>393</v>
      </c>
      <c r="C80" s="27" t="n">
        <f aca="false">SUM(C76:C79)</f>
        <v>762.16</v>
      </c>
      <c r="D80" s="27" t="n">
        <f aca="false">SUM(D76:D79)</f>
        <v>1021.58</v>
      </c>
      <c r="E80" s="27" t="n">
        <f aca="false">SUM(E76:E79)</f>
        <v>785.71</v>
      </c>
      <c r="F80" s="16" t="s">
        <v>394</v>
      </c>
    </row>
    <row r="81" customFormat="false" ht="15" hidden="false" customHeight="false" outlineLevel="0" collapsed="false">
      <c r="A81" s="2"/>
      <c r="B81" s="10" t="s">
        <v>395</v>
      </c>
      <c r="C81" s="29" t="n">
        <f aca="false">Financials!C115</f>
        <v>762.16</v>
      </c>
      <c r="D81" s="29" t="n">
        <f aca="false">Financials!D115</f>
        <v>1021.58</v>
      </c>
      <c r="E81" s="29" t="n">
        <f aca="false">Financials!E115</f>
        <v>785.71</v>
      </c>
      <c r="F81" s="16"/>
    </row>
    <row r="82" customFormat="false" ht="15" hidden="false" customHeight="false" outlineLevel="0" collapsed="false">
      <c r="A82" s="2"/>
      <c r="B82" s="10" t="s">
        <v>396</v>
      </c>
      <c r="C82" s="29" t="n">
        <f aca="false">Financials!C116</f>
        <v>467.57</v>
      </c>
      <c r="D82" s="29" t="n">
        <f aca="false">Financials!D116</f>
        <v>727.75</v>
      </c>
      <c r="E82" s="29" t="n">
        <f aca="false">Financials!E116</f>
        <v>460.19</v>
      </c>
      <c r="F82" s="16"/>
    </row>
    <row r="83" customFormat="false" ht="15" hidden="false" customHeight="false" outlineLevel="0" collapsed="false">
      <c r="A83" s="2"/>
      <c r="B83" s="12" t="s">
        <v>397</v>
      </c>
      <c r="C83" s="27" t="n">
        <f aca="false">C74+C81+C82</f>
        <v>1583.96</v>
      </c>
      <c r="D83" s="27" t="n">
        <f aca="false">D74+D81+D82</f>
        <v>2117.59</v>
      </c>
      <c r="E83" s="27" t="n">
        <f aca="false">E74+E81+E82</f>
        <v>1588.77</v>
      </c>
      <c r="F83" s="16"/>
    </row>
    <row r="84" customFormat="false" ht="15" hidden="false" customHeight="false" outlineLevel="0" collapsed="false">
      <c r="A84" s="2"/>
      <c r="B84" s="10" t="s">
        <v>398</v>
      </c>
      <c r="C84" s="23" t="n">
        <f aca="false">C83/Financials!C61</f>
        <v>0.179783595921624</v>
      </c>
      <c r="D84" s="23" t="n">
        <f aca="false">D83/Financials!D61</f>
        <v>0.183837885750153</v>
      </c>
      <c r="E84" s="23" t="n">
        <f aca="false">E83/Financials!E61</f>
        <v>0.121156037097874</v>
      </c>
      <c r="F84" s="16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</row>
    <row r="86" customFormat="false" ht="15" hidden="false" customHeight="false" outlineLevel="0" collapsed="false">
      <c r="A86" s="13" t="s">
        <v>399</v>
      </c>
      <c r="B86" s="14"/>
      <c r="C86" s="14"/>
      <c r="D86" s="14"/>
      <c r="E86" s="14"/>
      <c r="F86" s="14"/>
    </row>
    <row r="87" customFormat="false" ht="15" hidden="false" customHeight="false" outlineLevel="0" collapsed="false">
      <c r="A87" s="2"/>
      <c r="B87" s="10" t="s">
        <v>400</v>
      </c>
      <c r="C87" s="15" t="n">
        <v>568.01</v>
      </c>
      <c r="D87" s="15" t="n">
        <v>212.19</v>
      </c>
      <c r="E87" s="15" t="n">
        <v>180.38</v>
      </c>
      <c r="F87" s="16" t="s">
        <v>401</v>
      </c>
    </row>
    <row r="88" customFormat="false" ht="15" hidden="false" customHeight="false" outlineLevel="0" collapsed="false">
      <c r="A88" s="2"/>
      <c r="B88" s="10" t="s">
        <v>402</v>
      </c>
      <c r="C88" s="15" t="n">
        <v>437.3</v>
      </c>
      <c r="D88" s="15" t="n">
        <v>133.72</v>
      </c>
      <c r="E88" s="15" t="n">
        <v>55.73</v>
      </c>
      <c r="F88" s="16" t="s">
        <v>403</v>
      </c>
    </row>
    <row r="89" customFormat="false" ht="15" hidden="false" customHeight="false" outlineLevel="0" collapsed="false">
      <c r="A89" s="2"/>
      <c r="B89" s="10" t="s">
        <v>404</v>
      </c>
      <c r="C89" s="23" t="n">
        <f aca="false">C88/C87</f>
        <v>0.769880811957536</v>
      </c>
      <c r="D89" s="23" t="n">
        <f aca="false">D88/D87</f>
        <v>0.630189924124605</v>
      </c>
      <c r="E89" s="23" t="n">
        <f aca="false">E88/E87</f>
        <v>0.308958864619137</v>
      </c>
      <c r="F89" s="16"/>
    </row>
    <row r="90" customFormat="false" ht="15" hidden="false" customHeight="false" outlineLevel="0" collapsed="false">
      <c r="A90" s="2"/>
      <c r="B90" s="10" t="s">
        <v>405</v>
      </c>
      <c r="C90" s="15" t="n">
        <v>-67.03</v>
      </c>
      <c r="D90" s="15" t="n">
        <v>-42.79</v>
      </c>
      <c r="E90" s="15" t="n">
        <v>168.62</v>
      </c>
      <c r="F90" s="16" t="s">
        <v>403</v>
      </c>
    </row>
    <row r="91" customFormat="false" ht="15" hidden="false" customHeight="false" outlineLevel="0" collapsed="false">
      <c r="A91" s="2"/>
      <c r="B91" s="10" t="s">
        <v>406</v>
      </c>
      <c r="C91" s="15" t="n">
        <v>52.85</v>
      </c>
      <c r="D91" s="15" t="n">
        <v>54.04</v>
      </c>
      <c r="E91" s="15" t="n">
        <v>57.53</v>
      </c>
      <c r="F91" s="16" t="s">
        <v>403</v>
      </c>
    </row>
    <row r="92" customFormat="false" ht="15" hidden="false" customHeight="false" outlineLevel="0" collapsed="false">
      <c r="A92" s="2"/>
      <c r="B92" s="10" t="s">
        <v>407</v>
      </c>
      <c r="C92" s="15" t="n">
        <v>8.27</v>
      </c>
      <c r="D92" s="15" t="n">
        <v>-3.03</v>
      </c>
      <c r="E92" s="15" t="n">
        <v>2.12</v>
      </c>
      <c r="F92" s="16" t="s">
        <v>408</v>
      </c>
    </row>
    <row r="93" customFormat="false" ht="15" hidden="false" customHeight="false" outlineLevel="0" collapsed="false">
      <c r="A93" s="2"/>
      <c r="B93" s="12" t="s">
        <v>409</v>
      </c>
      <c r="C93" s="27" t="n">
        <f aca="false">SUM(C90:C92)</f>
        <v>-5.91</v>
      </c>
      <c r="D93" s="27" t="n">
        <f aca="false">SUM(D90:D92)</f>
        <v>8.22</v>
      </c>
      <c r="E93" s="27" t="n">
        <f aca="false">SUM(E90:E92)</f>
        <v>228.27</v>
      </c>
      <c r="F93" s="16"/>
    </row>
    <row r="94" customFormat="false" ht="15" hidden="false" customHeight="false" outlineLevel="0" collapsed="false">
      <c r="A94" s="2"/>
      <c r="B94" s="10" t="s">
        <v>410</v>
      </c>
      <c r="C94" s="28" t="n">
        <f aca="false">ABS(C93)*2%</f>
        <v>0.1182</v>
      </c>
      <c r="D94" s="28" t="n">
        <f aca="false">ABS(D93)*2%</f>
        <v>0.1644</v>
      </c>
      <c r="E94" s="28" t="n">
        <f aca="false">ABS(E93)*2%</f>
        <v>4.5654</v>
      </c>
      <c r="F94" s="16"/>
    </row>
    <row r="95" customFormat="false" ht="15" hidden="false" customHeight="false" outlineLevel="0" collapsed="false">
      <c r="A95" s="2"/>
      <c r="B95" s="10" t="s">
        <v>411</v>
      </c>
      <c r="C95" s="31" t="n">
        <f aca="false">C94/Financials!C20</f>
        <v>4.51512107171097E-005</v>
      </c>
      <c r="D95" s="31" t="n">
        <f aca="false">D94/Financials!D20</f>
        <v>4.97685640679444E-005</v>
      </c>
      <c r="E95" s="31" t="n">
        <f aca="false">E94/Financials!E20</f>
        <v>0.00128042675282497</v>
      </c>
      <c r="F95" s="16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</row>
    <row r="97" customFormat="false" ht="15" hidden="false" customHeight="false" outlineLevel="0" collapsed="false">
      <c r="A97" s="2"/>
      <c r="B97" s="10" t="s">
        <v>412</v>
      </c>
      <c r="C97" s="32" t="n">
        <v>3180.1</v>
      </c>
      <c r="D97" s="2"/>
      <c r="E97" s="2"/>
      <c r="F97" s="26" t="s">
        <v>413</v>
      </c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</row>
    <row r="99" customFormat="false" ht="15" hidden="false" customHeight="false" outlineLevel="0" collapsed="false">
      <c r="A99" s="13" t="s">
        <v>414</v>
      </c>
      <c r="B99" s="14"/>
      <c r="C99" s="14"/>
      <c r="D99" s="14"/>
      <c r="E99" s="14"/>
      <c r="F99" s="14"/>
    </row>
    <row r="100" customFormat="false" ht="15" hidden="false" customHeight="false" outlineLevel="0" collapsed="false">
      <c r="A100" s="4"/>
      <c r="B100" s="4" t="s">
        <v>415</v>
      </c>
      <c r="C100" s="4" t="s">
        <v>416</v>
      </c>
      <c r="D100" s="4" t="s">
        <v>417</v>
      </c>
      <c r="E100" s="4" t="s">
        <v>418</v>
      </c>
      <c r="F100" s="4" t="s">
        <v>419</v>
      </c>
    </row>
    <row r="101" customFormat="false" ht="22.35" hidden="false" customHeight="false" outlineLevel="0" collapsed="false">
      <c r="A101" s="2"/>
      <c r="B101" s="10" t="s">
        <v>420</v>
      </c>
      <c r="C101" s="15" t="n">
        <v>0</v>
      </c>
      <c r="D101" s="15" t="n">
        <v>100</v>
      </c>
      <c r="E101" s="28" t="n">
        <f aca="false">C101+D101</f>
        <v>100</v>
      </c>
      <c r="F101" s="16" t="s">
        <v>421</v>
      </c>
    </row>
    <row r="102" customFormat="false" ht="22.35" hidden="false" customHeight="false" outlineLevel="0" collapsed="false">
      <c r="A102" s="2"/>
      <c r="B102" s="10" t="s">
        <v>422</v>
      </c>
      <c r="C102" s="15" t="n">
        <v>37.5</v>
      </c>
      <c r="D102" s="15" t="n">
        <v>28.75</v>
      </c>
      <c r="E102" s="28" t="n">
        <f aca="false">C102+D102</f>
        <v>66.25</v>
      </c>
      <c r="F102" s="16" t="s">
        <v>423</v>
      </c>
    </row>
    <row r="103" customFormat="false" ht="15" hidden="false" customHeight="false" outlineLevel="0" collapsed="false">
      <c r="A103" s="2"/>
      <c r="B103" s="10" t="s">
        <v>424</v>
      </c>
      <c r="C103" s="15" t="n">
        <v>80</v>
      </c>
      <c r="D103" s="15" t="n">
        <v>40</v>
      </c>
      <c r="E103" s="28" t="n">
        <f aca="false">C103+D103</f>
        <v>120</v>
      </c>
      <c r="F103" s="16" t="s">
        <v>425</v>
      </c>
    </row>
    <row r="104" customFormat="false" ht="15" hidden="false" customHeight="false" outlineLevel="0" collapsed="false">
      <c r="A104" s="2"/>
      <c r="B104" s="10" t="s">
        <v>426</v>
      </c>
      <c r="C104" s="15" t="n">
        <v>56.25</v>
      </c>
      <c r="D104" s="15" t="n">
        <v>56.25</v>
      </c>
      <c r="E104" s="28" t="n">
        <f aca="false">C104+D104</f>
        <v>112.5</v>
      </c>
      <c r="F104" s="16" t="s">
        <v>427</v>
      </c>
    </row>
    <row r="105" customFormat="false" ht="15" hidden="false" customHeight="false" outlineLevel="0" collapsed="false">
      <c r="A105" s="2"/>
      <c r="B105" s="10" t="s">
        <v>428</v>
      </c>
      <c r="C105" s="15" t="n">
        <v>282.63</v>
      </c>
      <c r="D105" s="15" t="n">
        <v>54.25</v>
      </c>
      <c r="E105" s="28" t="n">
        <f aca="false">C105+D105</f>
        <v>336.88</v>
      </c>
      <c r="F105" s="16" t="s">
        <v>429</v>
      </c>
    </row>
    <row r="106" customFormat="false" ht="15" hidden="false" customHeight="false" outlineLevel="0" collapsed="false">
      <c r="A106" s="2"/>
      <c r="B106" s="10" t="s">
        <v>430</v>
      </c>
      <c r="C106" s="15" t="n">
        <v>0</v>
      </c>
      <c r="D106" s="15" t="n">
        <v>200</v>
      </c>
      <c r="E106" s="28" t="n">
        <f aca="false">C106+D106</f>
        <v>200</v>
      </c>
      <c r="F106" s="16" t="s">
        <v>431</v>
      </c>
    </row>
    <row r="107" customFormat="false" ht="15" hidden="false" customHeight="false" outlineLevel="0" collapsed="false">
      <c r="A107" s="2"/>
      <c r="B107" s="10" t="s">
        <v>432</v>
      </c>
      <c r="C107" s="15" t="n">
        <v>61.5</v>
      </c>
      <c r="D107" s="15" t="n">
        <v>4.91</v>
      </c>
      <c r="E107" s="28" t="n">
        <f aca="false">C107+D107</f>
        <v>66.41</v>
      </c>
      <c r="F107" s="16" t="s">
        <v>433</v>
      </c>
    </row>
    <row r="108" customFormat="false" ht="15" hidden="false" customHeight="false" outlineLevel="0" collapsed="false">
      <c r="A108" s="2"/>
      <c r="B108" s="10" t="s">
        <v>434</v>
      </c>
      <c r="C108" s="15" t="n">
        <v>0</v>
      </c>
      <c r="D108" s="15" t="n">
        <v>150</v>
      </c>
      <c r="E108" s="28" t="n">
        <f aca="false">C108+D108</f>
        <v>150</v>
      </c>
      <c r="F108" s="16" t="s">
        <v>435</v>
      </c>
    </row>
    <row r="109" customFormat="false" ht="15" hidden="false" customHeight="false" outlineLevel="0" collapsed="false">
      <c r="A109" s="2"/>
      <c r="B109" s="12" t="s">
        <v>436</v>
      </c>
      <c r="C109" s="33" t="n">
        <f aca="false">SUM(C101:C108)</f>
        <v>517.88</v>
      </c>
      <c r="D109" s="33" t="n">
        <f aca="false">SUM(D101:D108)</f>
        <v>634.16</v>
      </c>
      <c r="E109" s="33" t="n">
        <f aca="false">SUM(E101:E108)</f>
        <v>1152.04</v>
      </c>
      <c r="F109" s="2"/>
    </row>
    <row r="110" customFormat="false" ht="15" hidden="false" customHeight="false" outlineLevel="0" collapsed="false">
      <c r="A110" s="2"/>
      <c r="B110" s="10" t="s">
        <v>437</v>
      </c>
      <c r="C110" s="2"/>
      <c r="D110" s="34" t="n">
        <f aca="false">D109/E109</f>
        <v>0.550466997673692</v>
      </c>
      <c r="E110" s="2"/>
      <c r="F110" s="2"/>
    </row>
    <row r="111" customFormat="false" ht="15" hidden="false" customHeight="false" outlineLevel="0" collapsed="false">
      <c r="A111" s="2"/>
      <c r="B111" s="10" t="s">
        <v>438</v>
      </c>
      <c r="C111" s="2"/>
      <c r="D111" s="35" t="n">
        <f aca="false">E53/D109</f>
        <v>11.1183297590513</v>
      </c>
      <c r="E111" s="2"/>
      <c r="F111" s="2"/>
    </row>
    <row r="112" customFormat="false" ht="42" hidden="false" customHeight="true" outlineLevel="0" collapsed="false">
      <c r="A112" s="2"/>
      <c r="B112" s="3" t="s">
        <v>439</v>
      </c>
      <c r="C112" s="3"/>
      <c r="D112" s="3"/>
      <c r="E112" s="3"/>
      <c r="F112" s="3"/>
    </row>
  </sheetData>
  <mergeCells count="1">
    <mergeCell ref="B112:F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5" min="3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440</v>
      </c>
      <c r="B1" s="2"/>
      <c r="C1" s="2"/>
      <c r="D1" s="2"/>
      <c r="E1" s="2"/>
      <c r="F1" s="2"/>
    </row>
    <row r="2" customFormat="false" ht="45" hidden="false" customHeight="true" outlineLevel="0" collapsed="false">
      <c r="A2" s="3" t="s">
        <v>441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/>
      <c r="B4" s="4" t="s">
        <v>442</v>
      </c>
      <c r="C4" s="4" t="s">
        <v>64</v>
      </c>
      <c r="D4" s="4" t="s">
        <v>65</v>
      </c>
      <c r="E4" s="4" t="s">
        <v>66</v>
      </c>
      <c r="F4" s="4" t="s">
        <v>2</v>
      </c>
    </row>
    <row r="5" customFormat="false" ht="15" hidden="false" customHeight="false" outlineLevel="0" collapsed="false">
      <c r="A5" s="2"/>
      <c r="B5" s="10" t="s">
        <v>443</v>
      </c>
      <c r="C5" s="15" t="n">
        <v>40956.35</v>
      </c>
      <c r="D5" s="15" t="n">
        <v>42333.28</v>
      </c>
      <c r="E5" s="15" t="n">
        <v>48313.71</v>
      </c>
      <c r="F5" s="26" t="s">
        <v>444</v>
      </c>
    </row>
    <row r="6" customFormat="false" ht="15" hidden="false" customHeight="false" outlineLevel="0" collapsed="false">
      <c r="A6" s="2"/>
      <c r="B6" s="10" t="s">
        <v>445</v>
      </c>
      <c r="C6" s="15" t="n">
        <v>4746.99</v>
      </c>
      <c r="D6" s="15" t="n">
        <v>6201.86</v>
      </c>
      <c r="E6" s="15" t="n">
        <v>8048.37</v>
      </c>
      <c r="F6" s="26" t="s">
        <v>444</v>
      </c>
    </row>
    <row r="7" customFormat="false" ht="15" hidden="false" customHeight="false" outlineLevel="0" collapsed="false">
      <c r="A7" s="2"/>
      <c r="B7" s="10" t="s">
        <v>446</v>
      </c>
      <c r="C7" s="15" t="n">
        <v>2982.25</v>
      </c>
      <c r="D7" s="15" t="n">
        <v>3930.21</v>
      </c>
      <c r="E7" s="15" t="n">
        <v>4704.65</v>
      </c>
      <c r="F7" s="26" t="s">
        <v>444</v>
      </c>
    </row>
    <row r="8" customFormat="false" ht="15" hidden="false" customHeight="false" outlineLevel="0" collapsed="false">
      <c r="A8" s="2"/>
      <c r="B8" s="10" t="s">
        <v>447</v>
      </c>
      <c r="C8" s="15" t="n">
        <v>2696.34</v>
      </c>
      <c r="D8" s="15" t="n">
        <v>3382.79</v>
      </c>
      <c r="E8" s="15" t="n">
        <v>3720.98</v>
      </c>
      <c r="F8" s="26" t="s">
        <v>444</v>
      </c>
    </row>
    <row r="9" customFormat="false" ht="15" hidden="false" customHeight="false" outlineLevel="0" collapsed="false">
      <c r="A9" s="2"/>
      <c r="B9" s="10" t="s">
        <v>140</v>
      </c>
      <c r="C9" s="15" t="n">
        <v>26695.71</v>
      </c>
      <c r="D9" s="15" t="n">
        <v>36382.92</v>
      </c>
      <c r="E9" s="15" t="n">
        <v>46016.36</v>
      </c>
      <c r="F9" s="26" t="s">
        <v>444</v>
      </c>
    </row>
    <row r="10" customFormat="false" ht="15" hidden="false" customHeight="false" outlineLevel="0" collapsed="false">
      <c r="A10" s="2"/>
      <c r="B10" s="10" t="s">
        <v>325</v>
      </c>
      <c r="C10" s="15" t="n">
        <v>13868.63</v>
      </c>
      <c r="D10" s="15" t="n">
        <v>13318.18</v>
      </c>
      <c r="E10" s="15" t="n">
        <v>17633.44</v>
      </c>
      <c r="F10" s="26" t="s">
        <v>444</v>
      </c>
    </row>
    <row r="11" customFormat="false" ht="15" hidden="false" customHeight="false" outlineLevel="0" collapsed="false">
      <c r="A11" s="2"/>
      <c r="B11" s="12" t="s">
        <v>448</v>
      </c>
      <c r="C11" s="17" t="n">
        <f aca="false">C9+C10</f>
        <v>40564.34</v>
      </c>
      <c r="D11" s="17" t="n">
        <f aca="false">D9+D10</f>
        <v>49701.1</v>
      </c>
      <c r="E11" s="17" t="n">
        <f aca="false">E9+E10</f>
        <v>63649.8</v>
      </c>
      <c r="F11" s="26" t="s">
        <v>449</v>
      </c>
    </row>
    <row r="12" customFormat="false" ht="15" hidden="false" customHeight="false" outlineLevel="0" collapsed="false">
      <c r="A12" s="2"/>
      <c r="B12" s="10" t="s">
        <v>450</v>
      </c>
      <c r="C12" s="15" t="n">
        <v>11814.59</v>
      </c>
      <c r="D12" s="15" t="n">
        <v>15844.86</v>
      </c>
      <c r="E12" s="15" t="n">
        <v>18546.24</v>
      </c>
      <c r="F12" s="26" t="s">
        <v>444</v>
      </c>
    </row>
    <row r="13" customFormat="false" ht="15" hidden="false" customHeight="false" outlineLevel="0" collapsed="false">
      <c r="A13" s="2"/>
      <c r="B13" s="10" t="s">
        <v>451</v>
      </c>
      <c r="C13" s="36" t="n">
        <f aca="false">C11/C12</f>
        <v>3.43341072352066</v>
      </c>
      <c r="D13" s="36" t="n">
        <f aca="false">D11/D12</f>
        <v>3.13673330026267</v>
      </c>
      <c r="E13" s="36" t="n">
        <f aca="false">E11/E12</f>
        <v>3.43195170557482</v>
      </c>
      <c r="F13" s="26" t="s">
        <v>449</v>
      </c>
    </row>
    <row r="14" customFormat="false" ht="15" hidden="false" customHeight="false" outlineLevel="0" collapsed="false">
      <c r="A14" s="2"/>
      <c r="B14" s="10" t="s">
        <v>452</v>
      </c>
      <c r="C14" s="29" t="n">
        <f aca="false">Financials!C87</f>
        <v>2254.53</v>
      </c>
      <c r="D14" s="29" t="n">
        <f aca="false">Financials!D87</f>
        <v>1435.44</v>
      </c>
      <c r="E14" s="29" t="n">
        <f aca="false">Financials!E87</f>
        <v>1151.7</v>
      </c>
      <c r="F14" s="26" t="s">
        <v>453</v>
      </c>
    </row>
    <row r="15" customFormat="false" ht="15" hidden="false" customHeight="false" outlineLevel="0" collapsed="false">
      <c r="A15" s="2"/>
      <c r="B15" s="10" t="s">
        <v>454</v>
      </c>
      <c r="C15" s="37" t="n">
        <f aca="false">C14/C11</f>
        <v>0.0555791120969798</v>
      </c>
      <c r="D15" s="37" t="n">
        <f aca="false">D14/D11</f>
        <v>0.0288814533279948</v>
      </c>
      <c r="E15" s="37" t="n">
        <f aca="false">E14/E11</f>
        <v>0.0180943223702195</v>
      </c>
      <c r="F15" s="26" t="s">
        <v>449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2026-09-11T14:57:52Z</dcterms:created>
  <dc:creator>openpyxl</dc:creator>
  <dc:description/>
  <dc:language>en-US</dc:language>
  <cp:lastModifiedBy/>
  <dcterms:modified xsi:type="dcterms:W3CDTF">2026-09-11T14:57:53Z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