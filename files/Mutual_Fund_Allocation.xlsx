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F423F5C-EC6A-4391-93F8-213E44BF91DE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Questionnaire" sheetId="1" r:id="rId1"/>
    <sheet name="Mutual Fund Selection" sheetId="3" r:id="rId2"/>
    <sheet name="Personas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4" i="2" l="1"/>
  <c r="E63" i="2"/>
  <c r="E62" i="2"/>
  <c r="E50" i="2"/>
  <c r="E49" i="2"/>
  <c r="E48" i="2"/>
  <c r="G34" i="2"/>
  <c r="L34" i="2" s="1"/>
  <c r="P10" i="3" s="1"/>
  <c r="E34" i="2"/>
  <c r="G33" i="2"/>
  <c r="L33" i="2" s="1"/>
  <c r="P9" i="3" s="1"/>
  <c r="E33" i="2"/>
  <c r="E32" i="2"/>
  <c r="E18" i="2"/>
  <c r="G18" i="2" s="1"/>
  <c r="E17" i="2"/>
  <c r="G17" i="2" s="1"/>
  <c r="L17" i="2" s="1"/>
  <c r="P6" i="3" s="1"/>
  <c r="E16" i="2"/>
  <c r="G16" i="2" s="1"/>
  <c r="L16" i="2" s="1"/>
  <c r="E100" i="1"/>
  <c r="D100" i="1"/>
  <c r="C100" i="1"/>
  <c r="B100" i="1"/>
  <c r="P5" i="3" l="1"/>
  <c r="L63" i="2"/>
  <c r="P15" i="3" s="1"/>
  <c r="L32" i="2"/>
  <c r="L48" i="2"/>
  <c r="L49" i="2"/>
  <c r="P12" i="3" s="1"/>
  <c r="G50" i="2"/>
  <c r="L50" i="2" s="1"/>
  <c r="P13" i="3" s="1"/>
  <c r="G62" i="2"/>
  <c r="L62" i="2" s="1"/>
  <c r="G48" i="2"/>
  <c r="G63" i="2"/>
  <c r="L18" i="2"/>
  <c r="P7" i="3" s="1"/>
  <c r="G32" i="2"/>
  <c r="G49" i="2"/>
  <c r="G64" i="2"/>
  <c r="L64" i="2" s="1"/>
  <c r="P16" i="3" s="1"/>
  <c r="L66" i="2" l="1"/>
  <c r="P14" i="3"/>
  <c r="P11" i="3"/>
  <c r="L52" i="2"/>
  <c r="P8" i="3"/>
  <c r="L36" i="2"/>
  <c r="L20" i="2"/>
</calcChain>
</file>

<file path=xl/sharedStrings.xml><?xml version="1.0" encoding="utf-8"?>
<sst xmlns="http://schemas.openxmlformats.org/spreadsheetml/2006/main" count="430" uniqueCount="216">
  <si>
    <t>Assumption</t>
  </si>
  <si>
    <t>Value</t>
  </si>
  <si>
    <t>Time Horizon</t>
  </si>
  <si>
    <t>Risk-appropriate Mutual Fund Category</t>
  </si>
  <si>
    <t>Nifty 50 %</t>
  </si>
  <si>
    <t>Inflation</t>
  </si>
  <si>
    <t>&lt;= 3 years (Short-term)</t>
  </si>
  <si>
    <t>Debt: Liquid / Ultra Short Duration Fund</t>
  </si>
  <si>
    <t>Bank return</t>
  </si>
  <si>
    <t>5-15 years (Medium-term)</t>
  </si>
  <si>
    <t>Hybrid: Balanced Advantage (Medium risk) / Equity: Large &amp; Mid Cap (High risk)</t>
  </si>
  <si>
    <t>Nifty 50 return</t>
  </si>
  <si>
    <t>15+ years (Long-term / Retirement)</t>
  </si>
  <si>
    <t>Solution-Oriented Retirement Fund, plan matched to risk profile</t>
  </si>
  <si>
    <t>QUESTIONNAIRE</t>
  </si>
  <si>
    <t>Basic field</t>
  </si>
  <si>
    <t>Options / details</t>
  </si>
  <si>
    <t>Name</t>
  </si>
  <si>
    <t>Respondent name</t>
  </si>
  <si>
    <t>Age</t>
  </si>
  <si>
    <t>Exact age</t>
  </si>
  <si>
    <t>Age group</t>
  </si>
  <si>
    <t>20-30 / 30-40 / 40-50 / 50-60</t>
  </si>
  <si>
    <t>City</t>
  </si>
  <si>
    <t>Indian city context</t>
  </si>
  <si>
    <t>Salary range</t>
  </si>
  <si>
    <t>Below INR 8 LPA</t>
  </si>
  <si>
    <t>INR 8-12 LPA</t>
  </si>
  <si>
    <t>INR 12-18 LPA</t>
  </si>
  <si>
    <t>INR 18-25 LPA</t>
  </si>
  <si>
    <t>INR 25-40 LPA</t>
  </si>
  <si>
    <t>INR 40-60 LPA</t>
  </si>
  <si>
    <t>Above INR 60 LPA</t>
  </si>
  <si>
    <t>Short-term goal</t>
  </si>
  <si>
    <t>Optional goal based on respondent</t>
  </si>
  <si>
    <t>Medium-term goal</t>
  </si>
  <si>
    <t>Long term goal</t>
  </si>
  <si>
    <t>Retirement goal</t>
  </si>
  <si>
    <t>Compulsory for all respondents</t>
  </si>
  <si>
    <t>Question</t>
  </si>
  <si>
    <t>Option</t>
  </si>
  <si>
    <t>Points</t>
  </si>
  <si>
    <t>Under what age scale do you fall?</t>
  </si>
  <si>
    <t>Below 18</t>
  </si>
  <si>
    <t>18 to 45</t>
  </si>
  <si>
    <t>46 to 55</t>
  </si>
  <si>
    <t>56 to 65</t>
  </si>
  <si>
    <t>66 and above</t>
  </si>
  <si>
    <t>How much money can you take out of your monthly income for investment?</t>
  </si>
  <si>
    <t>&gt;0% &lt;=10%</t>
  </si>
  <si>
    <t>&gt;10% &lt;=30%</t>
  </si>
  <si>
    <t>&gt;30% &lt;=50%</t>
  </si>
  <si>
    <t>&gt;50%</t>
  </si>
  <si>
    <t>How familiar are you with stock market and concept of investment, risk and return?</t>
  </si>
  <si>
    <t>Not at all familiar</t>
  </si>
  <si>
    <t>Fairly familiar as I know how markets work and that stocks might be volatile and uncertain</t>
  </si>
  <si>
    <t>Very familiar as I know what to look out for before investing in any security</t>
  </si>
  <si>
    <t>How long have you been investing in stock markets?</t>
  </si>
  <si>
    <t>This is my first investment/Never before</t>
  </si>
  <si>
    <t>Been around 3 years</t>
  </si>
  <si>
    <t>More than 3 years</t>
  </si>
  <si>
    <t>Where do you prefer investing your money?</t>
  </si>
  <si>
    <t>Guaranteed income plans</t>
  </si>
  <si>
    <t>Steady growth plans</t>
  </si>
  <si>
    <t>Volatile plans with potential of very high returns</t>
  </si>
  <si>
    <t>How would you feel if the performance of your recent investments is below expectation?</t>
  </si>
  <si>
    <t>Panicked</t>
  </si>
  <si>
    <t>Quite uneasy</t>
  </si>
  <si>
    <t>A little concerned</t>
  </si>
  <si>
    <t>I will accept the possible highs and lows</t>
  </si>
  <si>
    <t>I will feel excited about the potential of gains</t>
  </si>
  <si>
    <t>Approximately what percentage of your funds are invested in volatile products?</t>
  </si>
  <si>
    <t>&gt;0% but &lt;=10%</t>
  </si>
  <si>
    <t>&gt;10% but &lt;=30%</t>
  </si>
  <si>
    <t>&gt;30% but &lt;=50%</t>
  </si>
  <si>
    <t>How much fluctuation in your investment would you normally be comfortable with?</t>
  </si>
  <si>
    <t>Between -5% to +5%</t>
  </si>
  <si>
    <t>Between -10% to +10%</t>
  </si>
  <si>
    <t>Between -20% to +20%</t>
  </si>
  <si>
    <t>Even more</t>
  </si>
  <si>
    <t>What time period of investment are you more comfortable with?</t>
  </si>
  <si>
    <t>&lt;=1 year</t>
  </si>
  <si>
    <t>&gt;1 &lt;=3 years</t>
  </si>
  <si>
    <t>&gt;3 &lt;=5 years</t>
  </si>
  <si>
    <t>&gt;5 &lt;=10 years</t>
  </si>
  <si>
    <t>&gt;10 years</t>
  </si>
  <si>
    <t>What kind of return-risk relation will appeal most to you?</t>
  </si>
  <si>
    <t>Return up to 3% with no risk of negative returns</t>
  </si>
  <si>
    <t>Returns ranging from 3-5% p.a. with risk of negative returns every 10 years</t>
  </si>
  <si>
    <t>5-8% p.a. with risk of negative returns every 7 years</t>
  </si>
  <si>
    <t>8-10% p.a. with risk of negative returns every 4 years</t>
  </si>
  <si>
    <t>&gt;10% p.a. with risk of negative returns &lt;=3 years</t>
  </si>
  <si>
    <t>Which fund would you choose considering the gain and loss provided?</t>
  </si>
  <si>
    <t>Fund A</t>
  </si>
  <si>
    <t>Fund B</t>
  </si>
  <si>
    <t>Fund C</t>
  </si>
  <si>
    <t>Suppose the value of your investment falls by 15% over a short period. What will be your action?</t>
  </si>
  <si>
    <t>You will be scared and sell off all your investments</t>
  </si>
  <si>
    <t>You will sell off a portion and invest in a risk-free option</t>
  </si>
  <si>
    <t>You will sell off a portion and invest in another stock</t>
  </si>
  <si>
    <t>You will wait and hold considering fluctuations are part of investing</t>
  </si>
  <si>
    <t>You will invest more money considering the value will rise in future</t>
  </si>
  <si>
    <t>Theme</t>
  </si>
  <si>
    <t>Nishtha Dalal</t>
  </si>
  <si>
    <t>Kushagra Natani</t>
  </si>
  <si>
    <t>Priya Mehta</t>
  </si>
  <si>
    <t>Anuj Dalal</t>
  </si>
  <si>
    <t>Monthly investment capacity</t>
  </si>
  <si>
    <t>Emergency readiness</t>
  </si>
  <si>
    <t>Market knowledge</t>
  </si>
  <si>
    <t>Investment experience</t>
  </si>
  <si>
    <t>Preferred investment</t>
  </si>
  <si>
    <t>Below-expectation return</t>
  </si>
  <si>
    <t>Volatile exposure</t>
  </si>
  <si>
    <t>Fluctuation comfort</t>
  </si>
  <si>
    <t>Investment horizon</t>
  </si>
  <si>
    <t>Risk-return choice</t>
  </si>
  <si>
    <t>Fund selection</t>
  </si>
  <si>
    <t>15% fall response</t>
  </si>
  <si>
    <t>Goal liquidity</t>
  </si>
  <si>
    <t>Total Score</t>
  </si>
  <si>
    <t>Risk Profile</t>
  </si>
  <si>
    <t>Medium</t>
  </si>
  <si>
    <t>High</t>
  </si>
  <si>
    <t>medium</t>
  </si>
  <si>
    <t>Mutual fund allocation</t>
  </si>
  <si>
    <t>Nifty 50 Allocation</t>
  </si>
  <si>
    <t>Nishtha Dalal (20-30)</t>
  </si>
  <si>
    <t>20-30</t>
  </si>
  <si>
    <t>Mumbai</t>
  </si>
  <si>
    <t xml:space="preserve">Retirement goal </t>
  </si>
  <si>
    <t>Start early and build a retirement corpus by age 60.</t>
  </si>
  <si>
    <t>Risk profile</t>
  </si>
  <si>
    <t xml:space="preserve">Medium </t>
  </si>
  <si>
    <t>Goal type</t>
  </si>
  <si>
    <t>Goal</t>
  </si>
  <si>
    <t>Current age</t>
  </si>
  <si>
    <t>Target age</t>
  </si>
  <si>
    <t>Years</t>
  </si>
  <si>
    <t>Current cost INR</t>
  </si>
  <si>
    <t>Future cost INR</t>
  </si>
  <si>
    <t>Selected Mutual Fund</t>
  </si>
  <si>
    <t>Category</t>
  </si>
  <si>
    <t>Fund Risk Appetite</t>
  </si>
  <si>
    <t>Expected Return %</t>
  </si>
  <si>
    <t>Monthly SIP INR</t>
  </si>
  <si>
    <t>Why this fund</t>
  </si>
  <si>
    <t>Short-term</t>
  </si>
  <si>
    <t>Postgraduate course fund</t>
  </si>
  <si>
    <t>HDFC Liquid Fund</t>
  </si>
  <si>
    <t>Debt - Liquid Fund</t>
  </si>
  <si>
    <t>Low</t>
  </si>
  <si>
    <t>Capital safety for a 2-yr goal; near-term money kept out of market volatility.</t>
  </si>
  <si>
    <t>Medium-term</t>
  </si>
  <si>
    <t>home purchase</t>
  </si>
  <si>
    <t>HDFC Balanced Advantage Fund</t>
  </si>
  <si>
    <t>Hybrid - Balanced Advantage</t>
  </si>
  <si>
    <t>Medium-risk hybrid fund balances equity growth with downside cushioning over 10 yrs.</t>
  </si>
  <si>
    <t>Long-term</t>
  </si>
  <si>
    <t>Retirement corpus</t>
  </si>
  <si>
    <t>Aditya Birla Sun Life Retirement Fund - The 30s Plan</t>
  </si>
  <si>
    <t>Solution-Oriented - Retirement Fund</t>
  </si>
  <si>
    <t>Mid</t>
  </si>
  <si>
    <t>Equity-biased retirement plan suited to a young investor's 38-yr runway.</t>
  </si>
  <si>
    <t>Total</t>
  </si>
  <si>
    <t>Kushagra Natani(30-40)</t>
  </si>
  <si>
    <t>30-40</t>
  </si>
  <si>
    <t>Indore</t>
  </si>
  <si>
    <t>Create financial independence by age 60.</t>
  </si>
  <si>
    <t>Home renovation</t>
  </si>
  <si>
    <t>ICICI Prudential Liquid Fund</t>
  </si>
  <si>
    <t>Home down payment</t>
  </si>
  <si>
    <t>ICICI Prudential Large &amp; Mid Cap Fund</t>
  </si>
  <si>
    <t>Equity - Large &amp; Mid Cap</t>
  </si>
  <si>
    <t>Very High</t>
  </si>
  <si>
    <t>High risk appetite + 11-yr horizon supports a pure-equity large &amp; mid cap allocation.</t>
  </si>
  <si>
    <t>Axis Retirement Fund - Dynamic Plan</t>
  </si>
  <si>
    <t>Aggressive retirement plan matching a high risk profile and 26-yr horizon.</t>
  </si>
  <si>
    <t>Priya Mehta (40-50)</t>
  </si>
  <si>
    <t>40-50</t>
  </si>
  <si>
    <t>Delhi NCR</t>
  </si>
  <si>
    <t>Protect retirement comfort while funding child's education.</t>
  </si>
  <si>
    <t>Child education fees</t>
  </si>
  <si>
    <t>Nippon India Liquid Fund</t>
  </si>
  <si>
    <t>Child higher education fund</t>
  </si>
  <si>
    <t>SBI Balanced Advantage Fund</t>
  </si>
  <si>
    <t>Medium-risk hybrid fund cushions volatility while still growing a 7-yr education corpus.</t>
  </si>
  <si>
    <t>SBI Retirement Benefit Fund - Aggressive Plan</t>
  </si>
  <si>
    <t>Growth-oriented retirement plan fitting a medium risk profile over a 14-yr horizon.</t>
  </si>
  <si>
    <t>Anuj Dalal (50-60)</t>
  </si>
  <si>
    <t>50-60</t>
  </si>
  <si>
    <t>kota</t>
  </si>
  <si>
    <t>Shift toward stable retirement income by age 60.</t>
  </si>
  <si>
    <t>Medical contingency reserve</t>
  </si>
  <si>
    <t>ICICI Prudential Ultra Short Term Fund</t>
  </si>
  <si>
    <t>Debt - Ultra Short Duration</t>
  </si>
  <si>
    <t>Slightly longer 3-yr horizon than a pure liquid fund; still capital-protection focused.</t>
  </si>
  <si>
    <t>Retirement transition fund</t>
  </si>
  <si>
    <t>ICICI Prudential Equity &amp; Debt Fund</t>
  </si>
  <si>
    <t>Hybrid - Aggressive Hybrid</t>
  </si>
  <si>
    <t>Growth-tilted hybrid fund to actively build the transition corpus over 8 yrs.</t>
  </si>
  <si>
    <t>Retirement safety corpus</t>
  </si>
  <si>
    <t>Tata Retirement Savings Fund - Moderate Plan</t>
  </si>
  <si>
    <t>Lower-volatility retirement plan for the 'safety' corpus as retirement nears.</t>
  </si>
  <si>
    <t>Mutual Fund Selection - Detail &amp; Rationale</t>
  </si>
  <si>
    <t>Persona</t>
  </si>
  <si>
    <t>Goal Type</t>
  </si>
  <si>
    <t>Persona Risk Profile</t>
  </si>
  <si>
    <t>Expense Ratio</t>
  </si>
  <si>
    <t>AUM (INR Cr)</t>
  </si>
  <si>
    <t>1Y Return</t>
  </si>
  <si>
    <t>3Y Return</t>
  </si>
  <si>
    <t>5Y Return</t>
  </si>
  <si>
    <t>Return % used for SIP</t>
  </si>
  <si>
    <t>Sharpe Ratio</t>
  </si>
  <si>
    <t>Home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</si>
</sst>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b/>
      <sz val="11"/>
      <color rgb="FF1F2937"/>
      <name val="Calibri"/>
      <charset val="1"/>
    </font>
    <font>
      <sz val="11"/>
      <color rgb="FF166534"/>
      <name val="Calibri"/>
      <charset val="1"/>
    </font>
    <font>
      <sz val="11"/>
      <color rgb="FF1D4ED8"/>
      <name val="Calibri"/>
      <charset val="1"/>
    </font>
    <font>
      <b/>
      <sz val="11"/>
      <color theme="1"/>
      <name val="Aptos Narrow"/>
      <family val="2"/>
      <charset val="1"/>
    </font>
    <font>
      <sz val="11"/>
      <color rgb="FF111827"/>
      <name val="Calibri"/>
      <charset val="1"/>
    </font>
    <font>
      <b/>
      <sz val="12"/>
      <color rgb="FF111827"/>
      <name val="Calibri"/>
      <charset val="1"/>
    </font>
    <font>
      <b/>
      <sz val="14"/>
      <color rgb="FF111827"/>
      <name val="Calibri"/>
      <charset val="1"/>
    </font>
    <font>
      <i/>
      <sz val="10"/>
      <color rgb="FF6B7280"/>
      <name val="Calibri"/>
      <charset val="1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7F7F2"/>
      </patternFill>
    </fill>
    <fill>
      <patternFill patternType="solid">
        <fgColor rgb="FFE8EFEA"/>
        <bgColor rgb="FFDCEAF7"/>
      </patternFill>
    </fill>
    <fill>
      <patternFill patternType="solid">
        <fgColor rgb="FFF7F7F2"/>
        <bgColor rgb="FFE8EFEA"/>
      </patternFill>
    </fill>
    <fill>
      <patternFill patternType="solid">
        <fgColor theme="3" tint="0.89989928891872917"/>
        <bgColor rgb="FFDDE7E1"/>
      </patternFill>
    </fill>
    <fill>
      <patternFill patternType="solid">
        <fgColor rgb="FFDDE7E1"/>
        <bgColor rgb="FFDCEAF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9" fillId="0" borderId="0" xfId="0" applyFont="1"/>
    <xf numFmtId="0" fontId="7" fillId="6" borderId="0" xfId="0" applyFont="1" applyFill="1"/>
    <xf numFmtId="0" fontId="7" fillId="6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1" xfId="0" applyBorder="1"/>
    <xf numFmtId="164" fontId="3" fillId="0" borderId="1" xfId="0" applyNumberFormat="1" applyFont="1" applyBorder="1" applyAlignment="1">
      <alignment wrapText="1"/>
    </xf>
    <xf numFmtId="0" fontId="4" fillId="4" borderId="1" xfId="0" applyFont="1" applyFill="1" applyBorder="1" applyAlignment="1">
      <alignment wrapText="1"/>
    </xf>
    <xf numFmtId="164" fontId="4" fillId="4" borderId="1" xfId="0" applyNumberFormat="1" applyFont="1" applyFill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0" fontId="5" fillId="2" borderId="1" xfId="0" applyFont="1" applyFill="1" applyBorder="1"/>
    <xf numFmtId="0" fontId="5" fillId="5" borderId="0" xfId="0" applyFont="1" applyFill="1"/>
    <xf numFmtId="0" fontId="0" fillId="0" borderId="0" xfId="0" applyAlignment="1">
      <alignment horizontal="left"/>
    </xf>
    <xf numFmtId="9" fontId="0" fillId="0" borderId="0" xfId="0" applyNumberFormat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left" wrapText="1"/>
    </xf>
    <xf numFmtId="0" fontId="4" fillId="4" borderId="0" xfId="0" applyFont="1" applyFill="1" applyAlignment="1">
      <alignment horizontal="left" wrapText="1"/>
    </xf>
    <xf numFmtId="0" fontId="6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left" wrapText="1"/>
    </xf>
    <xf numFmtId="0" fontId="2" fillId="3" borderId="2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4" fillId="4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wrapText="1"/>
    </xf>
    <xf numFmtId="3" fontId="6" fillId="4" borderId="1" xfId="0" applyNumberFormat="1" applyFont="1" applyFill="1" applyBorder="1" applyAlignment="1">
      <alignment wrapText="1"/>
    </xf>
    <xf numFmtId="3" fontId="6" fillId="0" borderId="1" xfId="0" applyNumberFormat="1" applyFont="1" applyBorder="1" applyAlignment="1">
      <alignment wrapText="1"/>
    </xf>
    <xf numFmtId="10" fontId="4" fillId="4" borderId="1" xfId="0" applyNumberFormat="1" applyFont="1" applyFill="1" applyBorder="1" applyAlignment="1">
      <alignment wrapText="1"/>
    </xf>
    <xf numFmtId="3" fontId="6" fillId="0" borderId="1" xfId="0" applyNumberFormat="1" applyFont="1" applyBorder="1"/>
    <xf numFmtId="3" fontId="2" fillId="3" borderId="1" xfId="0" applyNumberFormat="1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8" fillId="0" borderId="0" xfId="0" applyFont="1"/>
    <xf numFmtId="0" fontId="2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/>
    <xf numFmtId="0" fontId="6" fillId="4" borderId="3" xfId="0" applyFont="1" applyFill="1" applyBorder="1"/>
    <xf numFmtId="10" fontId="6" fillId="4" borderId="3" xfId="0" applyNumberFormat="1" applyFont="1" applyFill="1" applyBorder="1"/>
    <xf numFmtId="3" fontId="6" fillId="4" borderId="3" xfId="0" applyNumberFormat="1" applyFont="1" applyFill="1" applyBorder="1"/>
    <xf numFmtId="3" fontId="1" fillId="0" borderId="1" xfId="0" applyNumberFormat="1" applyFont="1" applyBorder="1" applyAlignment="1">
      <alignment vertical="top" wrapText="1"/>
    </xf>
    <xf numFmtId="3" fontId="10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7F7F2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FEA"/>
      <rgbColor rgb="FFDCEAF7"/>
      <rgbColor rgb="FF660066"/>
      <rgbColor rgb="FFFF8080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opLeftCell="A19" zoomScaleNormal="100" workbookViewId="0">
      <selection activeCell="B102" sqref="B102"/>
    </sheetView>
  </sheetViews>
  <sheetFormatPr defaultColWidth="8.54296875" defaultRowHeight="14.5" x14ac:dyDescent="0.35"/>
  <cols>
    <col min="1" max="1" width="77.6328125" customWidth="1"/>
    <col min="2" max="2" width="73.08984375" customWidth="1"/>
    <col min="3" max="3" width="13.1796875" customWidth="1"/>
    <col min="4" max="4" width="14.26953125" customWidth="1"/>
    <col min="5" max="5" width="34.54296875" bestFit="1" customWidth="1"/>
    <col min="6" max="6" width="14.26953125" customWidth="1"/>
  </cols>
  <sheetData>
    <row r="1" spans="1:8" ht="14.25" customHeight="1" x14ac:dyDescent="0.35">
      <c r="A1" s="4" t="s">
        <v>0</v>
      </c>
    </row>
    <row r="2" spans="1:8" ht="41.25" customHeight="1" x14ac:dyDescent="0.35">
      <c r="A2" s="5"/>
      <c r="B2" s="5" t="s">
        <v>1</v>
      </c>
      <c r="D2" s="5" t="s">
        <v>2</v>
      </c>
      <c r="E2" s="5" t="s">
        <v>3</v>
      </c>
      <c r="F2" s="5" t="s">
        <v>4</v>
      </c>
    </row>
    <row r="3" spans="1:8" ht="27.75" customHeight="1" x14ac:dyDescent="0.35">
      <c r="A3" s="6" t="s">
        <v>5</v>
      </c>
      <c r="B3" s="7">
        <v>0.06</v>
      </c>
      <c r="D3" s="8" t="s">
        <v>6</v>
      </c>
      <c r="E3" s="9" t="s">
        <v>7</v>
      </c>
      <c r="F3" s="10">
        <v>0</v>
      </c>
    </row>
    <row r="4" spans="1:8" ht="68.25" customHeight="1" x14ac:dyDescent="0.35">
      <c r="A4" s="6" t="s">
        <v>8</v>
      </c>
      <c r="B4" s="7">
        <v>0.06</v>
      </c>
      <c r="D4" s="8" t="s">
        <v>9</v>
      </c>
      <c r="E4" s="9" t="s">
        <v>10</v>
      </c>
      <c r="F4" s="10">
        <v>0.5</v>
      </c>
    </row>
    <row r="5" spans="1:8" ht="54.75" customHeight="1" x14ac:dyDescent="0.35">
      <c r="A5" s="6" t="s">
        <v>11</v>
      </c>
      <c r="B5" s="7">
        <v>0.15</v>
      </c>
      <c r="D5" s="8" t="s">
        <v>12</v>
      </c>
      <c r="E5" s="9" t="s">
        <v>13</v>
      </c>
      <c r="F5" s="10">
        <v>1</v>
      </c>
    </row>
    <row r="7" spans="1:8" ht="14.25" customHeight="1" x14ac:dyDescent="0.35">
      <c r="A7" s="11" t="s">
        <v>14</v>
      </c>
    </row>
    <row r="9" spans="1:8" ht="14.25" customHeight="1" x14ac:dyDescent="0.35">
      <c r="A9" s="5" t="s">
        <v>15</v>
      </c>
      <c r="B9" s="5" t="s">
        <v>16</v>
      </c>
      <c r="C9" s="5"/>
      <c r="D9" s="5"/>
      <c r="E9" s="5"/>
      <c r="F9" s="5"/>
      <c r="G9" s="5"/>
      <c r="H9" s="5"/>
    </row>
    <row r="10" spans="1:8" ht="14.25" customHeight="1" x14ac:dyDescent="0.35">
      <c r="A10" s="6" t="s">
        <v>17</v>
      </c>
      <c r="B10" s="6" t="s">
        <v>18</v>
      </c>
      <c r="C10" s="6"/>
      <c r="D10" s="6"/>
      <c r="E10" s="6"/>
      <c r="F10" s="6"/>
      <c r="G10" s="6"/>
      <c r="H10" s="6"/>
    </row>
    <row r="11" spans="1:8" ht="14.25" customHeight="1" x14ac:dyDescent="0.35">
      <c r="A11" s="6" t="s">
        <v>19</v>
      </c>
      <c r="B11" s="6" t="s">
        <v>20</v>
      </c>
      <c r="C11" s="6"/>
      <c r="D11" s="6"/>
      <c r="E11" s="6"/>
      <c r="F11" s="6"/>
      <c r="G11" s="6"/>
      <c r="H11" s="6"/>
    </row>
    <row r="12" spans="1:8" ht="14.25" customHeight="1" x14ac:dyDescent="0.35">
      <c r="A12" s="6" t="s">
        <v>21</v>
      </c>
      <c r="B12" s="6" t="s">
        <v>22</v>
      </c>
      <c r="C12" s="6"/>
      <c r="D12" s="6"/>
      <c r="E12" s="6"/>
      <c r="F12" s="6"/>
      <c r="G12" s="6"/>
      <c r="H12" s="6"/>
    </row>
    <row r="13" spans="1:8" ht="14.25" customHeight="1" x14ac:dyDescent="0.35">
      <c r="A13" s="6" t="s">
        <v>23</v>
      </c>
      <c r="B13" s="6" t="s">
        <v>24</v>
      </c>
      <c r="C13" s="6"/>
      <c r="D13" s="6"/>
      <c r="E13" s="6"/>
      <c r="F13" s="6"/>
      <c r="G13" s="6"/>
      <c r="H13" s="6"/>
    </row>
    <row r="14" spans="1:8" ht="42" customHeight="1" x14ac:dyDescent="0.35">
      <c r="A14" s="6" t="s">
        <v>25</v>
      </c>
      <c r="B14" s="8" t="s">
        <v>26</v>
      </c>
      <c r="C14" s="8" t="s">
        <v>27</v>
      </c>
      <c r="D14" s="8" t="s">
        <v>28</v>
      </c>
      <c r="E14" s="8" t="s">
        <v>29</v>
      </c>
      <c r="F14" s="8" t="s">
        <v>30</v>
      </c>
      <c r="G14" s="8" t="s">
        <v>31</v>
      </c>
      <c r="H14" s="8" t="s">
        <v>32</v>
      </c>
    </row>
    <row r="15" spans="1:8" ht="14.25" customHeight="1" x14ac:dyDescent="0.35">
      <c r="A15" s="6" t="s">
        <v>33</v>
      </c>
      <c r="B15" s="6" t="s">
        <v>34</v>
      </c>
      <c r="C15" s="6"/>
      <c r="D15" s="6"/>
      <c r="E15" s="6"/>
      <c r="F15" s="6"/>
      <c r="G15" s="6"/>
      <c r="H15" s="6"/>
    </row>
    <row r="16" spans="1:8" ht="14.25" customHeight="1" x14ac:dyDescent="0.35">
      <c r="A16" s="6" t="s">
        <v>35</v>
      </c>
      <c r="B16" s="6" t="s">
        <v>34</v>
      </c>
      <c r="C16" s="6"/>
      <c r="D16" s="6"/>
      <c r="E16" s="6"/>
      <c r="F16" s="6"/>
      <c r="G16" s="6"/>
      <c r="H16" s="6"/>
    </row>
    <row r="17" spans="1:8" ht="14.25" customHeight="1" x14ac:dyDescent="0.35">
      <c r="A17" s="6" t="s">
        <v>36</v>
      </c>
      <c r="B17" s="6" t="s">
        <v>34</v>
      </c>
      <c r="C17" s="6"/>
      <c r="D17" s="6"/>
      <c r="E17" s="6"/>
      <c r="F17" s="6"/>
      <c r="G17" s="6"/>
      <c r="H17" s="6"/>
    </row>
    <row r="18" spans="1:8" ht="14.25" customHeight="1" x14ac:dyDescent="0.35">
      <c r="A18" s="6" t="s">
        <v>37</v>
      </c>
      <c r="B18" s="6" t="s">
        <v>38</v>
      </c>
      <c r="C18" s="6"/>
      <c r="D18" s="6"/>
      <c r="E18" s="6"/>
      <c r="F18" s="6"/>
      <c r="G18" s="6"/>
      <c r="H18" s="6"/>
    </row>
    <row r="21" spans="1:8" ht="14.25" customHeight="1" x14ac:dyDescent="0.35">
      <c r="A21" s="12" t="s">
        <v>39</v>
      </c>
      <c r="B21" s="12" t="s">
        <v>40</v>
      </c>
      <c r="C21" s="12" t="s">
        <v>41</v>
      </c>
    </row>
    <row r="22" spans="1:8" ht="14.25" customHeight="1" x14ac:dyDescent="0.35">
      <c r="A22" t="s">
        <v>42</v>
      </c>
      <c r="B22" t="s">
        <v>43</v>
      </c>
      <c r="C22" s="13">
        <v>5</v>
      </c>
    </row>
    <row r="23" spans="1:8" ht="14.25" customHeight="1" x14ac:dyDescent="0.35">
      <c r="B23" t="s">
        <v>44</v>
      </c>
      <c r="C23" s="13">
        <v>4</v>
      </c>
    </row>
    <row r="24" spans="1:8" ht="14.25" customHeight="1" x14ac:dyDescent="0.35">
      <c r="B24" t="s">
        <v>45</v>
      </c>
      <c r="C24" s="13">
        <v>3</v>
      </c>
    </row>
    <row r="25" spans="1:8" ht="14.25" customHeight="1" x14ac:dyDescent="0.35">
      <c r="B25" t="s">
        <v>46</v>
      </c>
      <c r="C25" s="13">
        <v>2</v>
      </c>
    </row>
    <row r="26" spans="1:8" ht="14.25" customHeight="1" x14ac:dyDescent="0.35">
      <c r="B26" t="s">
        <v>47</v>
      </c>
      <c r="C26" s="13">
        <v>1</v>
      </c>
    </row>
    <row r="27" spans="1:8" ht="14.25" customHeight="1" x14ac:dyDescent="0.35">
      <c r="C27" s="13"/>
    </row>
    <row r="28" spans="1:8" ht="14.25" customHeight="1" x14ac:dyDescent="0.35">
      <c r="A28" t="s">
        <v>48</v>
      </c>
      <c r="B28" s="14">
        <v>0</v>
      </c>
      <c r="C28" s="13">
        <v>1</v>
      </c>
    </row>
    <row r="29" spans="1:8" ht="14.25" customHeight="1" x14ac:dyDescent="0.35">
      <c r="B29" s="14" t="s">
        <v>49</v>
      </c>
      <c r="C29" s="13">
        <v>2</v>
      </c>
    </row>
    <row r="30" spans="1:8" ht="14.25" customHeight="1" x14ac:dyDescent="0.35">
      <c r="B30" t="s">
        <v>50</v>
      </c>
      <c r="C30" s="13">
        <v>3</v>
      </c>
    </row>
    <row r="31" spans="1:8" ht="14.25" customHeight="1" x14ac:dyDescent="0.35">
      <c r="B31" t="s">
        <v>51</v>
      </c>
      <c r="C31" s="13">
        <v>4</v>
      </c>
    </row>
    <row r="32" spans="1:8" ht="14.25" customHeight="1" x14ac:dyDescent="0.35">
      <c r="B32" t="s">
        <v>52</v>
      </c>
      <c r="C32" s="13">
        <v>5</v>
      </c>
    </row>
    <row r="33" spans="1:3" ht="14.25" customHeight="1" x14ac:dyDescent="0.35">
      <c r="C33" s="13"/>
    </row>
    <row r="34" spans="1:3" ht="14.25" customHeight="1" x14ac:dyDescent="0.35">
      <c r="A34" t="s">
        <v>53</v>
      </c>
      <c r="B34" t="s">
        <v>54</v>
      </c>
      <c r="C34" s="13">
        <v>1</v>
      </c>
    </row>
    <row r="35" spans="1:3" ht="14.25" customHeight="1" x14ac:dyDescent="0.35">
      <c r="B35" t="s">
        <v>55</v>
      </c>
      <c r="C35" s="13">
        <v>3</v>
      </c>
    </row>
    <row r="36" spans="1:3" ht="14.25" customHeight="1" x14ac:dyDescent="0.35">
      <c r="B36" t="s">
        <v>56</v>
      </c>
      <c r="C36" s="13">
        <v>5</v>
      </c>
    </row>
    <row r="37" spans="1:3" ht="14.25" customHeight="1" x14ac:dyDescent="0.35">
      <c r="C37" s="13"/>
    </row>
    <row r="38" spans="1:3" ht="14.25" customHeight="1" x14ac:dyDescent="0.35">
      <c r="A38" t="s">
        <v>57</v>
      </c>
      <c r="B38" t="s">
        <v>58</v>
      </c>
      <c r="C38" s="13">
        <v>1</v>
      </c>
    </row>
    <row r="39" spans="1:3" ht="14.25" customHeight="1" x14ac:dyDescent="0.35">
      <c r="B39" t="s">
        <v>59</v>
      </c>
      <c r="C39" s="13">
        <v>3</v>
      </c>
    </row>
    <row r="40" spans="1:3" ht="14.25" customHeight="1" x14ac:dyDescent="0.35">
      <c r="B40" t="s">
        <v>60</v>
      </c>
      <c r="C40" s="13">
        <v>5</v>
      </c>
    </row>
    <row r="41" spans="1:3" ht="14.25" customHeight="1" x14ac:dyDescent="0.35">
      <c r="C41" s="13"/>
    </row>
    <row r="42" spans="1:3" ht="14.25" customHeight="1" x14ac:dyDescent="0.35">
      <c r="A42" t="s">
        <v>61</v>
      </c>
      <c r="B42" t="s">
        <v>62</v>
      </c>
      <c r="C42" s="13">
        <v>1</v>
      </c>
    </row>
    <row r="43" spans="1:3" ht="14.25" customHeight="1" x14ac:dyDescent="0.35">
      <c r="B43" t="s">
        <v>63</v>
      </c>
      <c r="C43" s="13">
        <v>3</v>
      </c>
    </row>
    <row r="44" spans="1:3" ht="14.25" customHeight="1" x14ac:dyDescent="0.35">
      <c r="B44" t="s">
        <v>64</v>
      </c>
      <c r="C44" s="13">
        <v>5</v>
      </c>
    </row>
    <row r="45" spans="1:3" ht="14.25" customHeight="1" x14ac:dyDescent="0.35">
      <c r="C45" s="13"/>
    </row>
    <row r="46" spans="1:3" ht="14.25" customHeight="1" x14ac:dyDescent="0.35">
      <c r="A46" t="s">
        <v>65</v>
      </c>
      <c r="B46" t="s">
        <v>66</v>
      </c>
      <c r="C46" s="13">
        <v>1</v>
      </c>
    </row>
    <row r="47" spans="1:3" ht="14.25" customHeight="1" x14ac:dyDescent="0.35">
      <c r="B47" t="s">
        <v>67</v>
      </c>
      <c r="C47" s="13">
        <v>2</v>
      </c>
    </row>
    <row r="48" spans="1:3" ht="14.25" customHeight="1" x14ac:dyDescent="0.35">
      <c r="B48" t="s">
        <v>68</v>
      </c>
      <c r="C48" s="13">
        <v>3</v>
      </c>
    </row>
    <row r="49" spans="1:3" ht="14.25" customHeight="1" x14ac:dyDescent="0.35">
      <c r="B49" t="s">
        <v>69</v>
      </c>
      <c r="C49" s="13">
        <v>4</v>
      </c>
    </row>
    <row r="50" spans="1:3" ht="14.25" customHeight="1" x14ac:dyDescent="0.35">
      <c r="B50" t="s">
        <v>70</v>
      </c>
      <c r="C50" s="13">
        <v>5</v>
      </c>
    </row>
    <row r="51" spans="1:3" ht="14.25" customHeight="1" x14ac:dyDescent="0.35">
      <c r="C51" s="13"/>
    </row>
    <row r="52" spans="1:3" ht="14.25" customHeight="1" x14ac:dyDescent="0.35">
      <c r="A52" t="s">
        <v>71</v>
      </c>
      <c r="B52" s="14">
        <v>0</v>
      </c>
      <c r="C52" s="13">
        <v>1</v>
      </c>
    </row>
    <row r="53" spans="1:3" ht="14.25" customHeight="1" x14ac:dyDescent="0.35">
      <c r="B53" t="s">
        <v>72</v>
      </c>
      <c r="C53" s="13">
        <v>2</v>
      </c>
    </row>
    <row r="54" spans="1:3" ht="14.25" customHeight="1" x14ac:dyDescent="0.35">
      <c r="B54" t="s">
        <v>73</v>
      </c>
      <c r="C54" s="13">
        <v>3</v>
      </c>
    </row>
    <row r="55" spans="1:3" ht="14.25" customHeight="1" x14ac:dyDescent="0.35">
      <c r="B55" t="s">
        <v>74</v>
      </c>
      <c r="C55" s="13">
        <v>4</v>
      </c>
    </row>
    <row r="56" spans="1:3" ht="14.25" customHeight="1" x14ac:dyDescent="0.35">
      <c r="B56" t="s">
        <v>52</v>
      </c>
      <c r="C56" s="13">
        <v>5</v>
      </c>
    </row>
    <row r="57" spans="1:3" ht="14.25" customHeight="1" x14ac:dyDescent="0.35">
      <c r="C57" s="13"/>
    </row>
    <row r="58" spans="1:3" ht="14.25" customHeight="1" x14ac:dyDescent="0.35">
      <c r="A58" t="s">
        <v>75</v>
      </c>
      <c r="B58" s="14">
        <v>0</v>
      </c>
      <c r="C58" s="13">
        <v>1</v>
      </c>
    </row>
    <row r="59" spans="1:3" ht="14.25" customHeight="1" x14ac:dyDescent="0.35">
      <c r="B59" t="s">
        <v>76</v>
      </c>
      <c r="C59" s="13">
        <v>2</v>
      </c>
    </row>
    <row r="60" spans="1:3" ht="14.25" customHeight="1" x14ac:dyDescent="0.35">
      <c r="B60" t="s">
        <v>77</v>
      </c>
      <c r="C60" s="13">
        <v>3</v>
      </c>
    </row>
    <row r="61" spans="1:3" ht="14.25" customHeight="1" x14ac:dyDescent="0.35">
      <c r="B61" t="s">
        <v>78</v>
      </c>
      <c r="C61" s="13">
        <v>4</v>
      </c>
    </row>
    <row r="62" spans="1:3" ht="14.25" customHeight="1" x14ac:dyDescent="0.35">
      <c r="B62" t="s">
        <v>79</v>
      </c>
      <c r="C62" s="13">
        <v>5</v>
      </c>
    </row>
    <row r="63" spans="1:3" ht="14.25" customHeight="1" x14ac:dyDescent="0.35">
      <c r="C63" s="13"/>
    </row>
    <row r="64" spans="1:3" ht="14.25" customHeight="1" x14ac:dyDescent="0.35">
      <c r="A64" t="s">
        <v>80</v>
      </c>
      <c r="B64" t="s">
        <v>81</v>
      </c>
      <c r="C64" s="13">
        <v>1</v>
      </c>
    </row>
    <row r="65" spans="1:3" ht="14.25" customHeight="1" x14ac:dyDescent="0.35">
      <c r="B65" t="s">
        <v>82</v>
      </c>
      <c r="C65" s="13">
        <v>2</v>
      </c>
    </row>
    <row r="66" spans="1:3" ht="14.25" customHeight="1" x14ac:dyDescent="0.35">
      <c r="B66" t="s">
        <v>83</v>
      </c>
      <c r="C66" s="13">
        <v>3</v>
      </c>
    </row>
    <row r="67" spans="1:3" ht="14.25" customHeight="1" x14ac:dyDescent="0.35">
      <c r="B67" t="s">
        <v>84</v>
      </c>
      <c r="C67" s="13">
        <v>4</v>
      </c>
    </row>
    <row r="68" spans="1:3" ht="14.25" customHeight="1" x14ac:dyDescent="0.35">
      <c r="B68" t="s">
        <v>85</v>
      </c>
      <c r="C68" s="13">
        <v>5</v>
      </c>
    </row>
    <row r="69" spans="1:3" ht="14.25" customHeight="1" x14ac:dyDescent="0.35">
      <c r="C69" s="13"/>
    </row>
    <row r="70" spans="1:3" ht="14.25" customHeight="1" x14ac:dyDescent="0.35">
      <c r="A70" t="s">
        <v>86</v>
      </c>
      <c r="B70" t="s">
        <v>87</v>
      </c>
      <c r="C70" s="13">
        <v>1</v>
      </c>
    </row>
    <row r="71" spans="1:3" ht="14.25" customHeight="1" x14ac:dyDescent="0.35">
      <c r="B71" t="s">
        <v>88</v>
      </c>
      <c r="C71" s="13">
        <v>2</v>
      </c>
    </row>
    <row r="72" spans="1:3" ht="14.25" customHeight="1" x14ac:dyDescent="0.35">
      <c r="B72" t="s">
        <v>89</v>
      </c>
      <c r="C72" s="13">
        <v>3</v>
      </c>
    </row>
    <row r="73" spans="1:3" ht="14.25" customHeight="1" x14ac:dyDescent="0.35">
      <c r="B73" t="s">
        <v>90</v>
      </c>
      <c r="C73" s="13">
        <v>4</v>
      </c>
    </row>
    <row r="74" spans="1:3" ht="14.25" customHeight="1" x14ac:dyDescent="0.35">
      <c r="B74" t="s">
        <v>91</v>
      </c>
      <c r="C74" s="13">
        <v>5</v>
      </c>
    </row>
    <row r="75" spans="1:3" ht="14.25" customHeight="1" x14ac:dyDescent="0.35">
      <c r="C75" s="13"/>
    </row>
    <row r="76" spans="1:3" ht="14.25" customHeight="1" x14ac:dyDescent="0.35">
      <c r="A76" t="s">
        <v>92</v>
      </c>
      <c r="B76" t="s">
        <v>93</v>
      </c>
      <c r="C76" s="13">
        <v>1</v>
      </c>
    </row>
    <row r="77" spans="1:3" ht="14.25" customHeight="1" x14ac:dyDescent="0.35">
      <c r="B77" t="s">
        <v>94</v>
      </c>
      <c r="C77" s="13">
        <v>3</v>
      </c>
    </row>
    <row r="78" spans="1:3" ht="14.25" customHeight="1" x14ac:dyDescent="0.35">
      <c r="B78" t="s">
        <v>95</v>
      </c>
      <c r="C78" s="13">
        <v>5</v>
      </c>
    </row>
    <row r="79" spans="1:3" ht="14.25" customHeight="1" x14ac:dyDescent="0.35">
      <c r="C79" s="13"/>
    </row>
    <row r="80" spans="1:3" ht="14.25" customHeight="1" x14ac:dyDescent="0.35">
      <c r="A80" t="s">
        <v>96</v>
      </c>
      <c r="B80" t="s">
        <v>97</v>
      </c>
      <c r="C80" s="13">
        <v>1</v>
      </c>
    </row>
    <row r="81" spans="1:5" ht="14.25" customHeight="1" x14ac:dyDescent="0.35">
      <c r="B81" t="s">
        <v>98</v>
      </c>
      <c r="C81" s="13">
        <v>2</v>
      </c>
    </row>
    <row r="82" spans="1:5" ht="14.25" customHeight="1" x14ac:dyDescent="0.35">
      <c r="B82" t="s">
        <v>99</v>
      </c>
      <c r="C82" s="13">
        <v>3</v>
      </c>
    </row>
    <row r="83" spans="1:5" ht="14.25" customHeight="1" x14ac:dyDescent="0.35">
      <c r="B83" t="s">
        <v>100</v>
      </c>
      <c r="C83" s="13">
        <v>4</v>
      </c>
    </row>
    <row r="84" spans="1:5" ht="14.25" customHeight="1" x14ac:dyDescent="0.35">
      <c r="B84" t="s">
        <v>101</v>
      </c>
      <c r="C84" s="13">
        <v>5</v>
      </c>
    </row>
    <row r="86" spans="1:5" ht="28.5" customHeight="1" x14ac:dyDescent="0.35">
      <c r="A86" s="15" t="s">
        <v>102</v>
      </c>
      <c r="B86" s="16" t="s">
        <v>103</v>
      </c>
      <c r="C86" s="16" t="s">
        <v>104</v>
      </c>
      <c r="D86" s="16" t="s">
        <v>105</v>
      </c>
      <c r="E86" s="16" t="s">
        <v>106</v>
      </c>
    </row>
    <row r="87" spans="1:5" ht="14.25" customHeight="1" x14ac:dyDescent="0.35">
      <c r="A87" t="s">
        <v>107</v>
      </c>
      <c r="B87" s="17">
        <v>3</v>
      </c>
      <c r="C87" s="17">
        <v>4</v>
      </c>
      <c r="D87" s="17">
        <v>4</v>
      </c>
      <c r="E87" s="17">
        <v>4</v>
      </c>
    </row>
    <row r="88" spans="1:5" ht="14.25" customHeight="1" x14ac:dyDescent="0.35">
      <c r="A88" t="s">
        <v>108</v>
      </c>
      <c r="B88" s="17">
        <v>3</v>
      </c>
      <c r="C88" s="17">
        <v>4</v>
      </c>
      <c r="D88" s="17">
        <v>5</v>
      </c>
      <c r="E88" s="17">
        <v>5</v>
      </c>
    </row>
    <row r="89" spans="1:5" ht="14.25" customHeight="1" x14ac:dyDescent="0.35">
      <c r="A89" t="s">
        <v>109</v>
      </c>
      <c r="B89" s="17">
        <v>3</v>
      </c>
      <c r="C89" s="17">
        <v>4</v>
      </c>
      <c r="D89" s="17">
        <v>3</v>
      </c>
      <c r="E89" s="17">
        <v>3</v>
      </c>
    </row>
    <row r="90" spans="1:5" ht="14.25" customHeight="1" x14ac:dyDescent="0.35">
      <c r="A90" t="s">
        <v>110</v>
      </c>
      <c r="B90" s="17">
        <v>2</v>
      </c>
      <c r="C90" s="17">
        <v>4</v>
      </c>
      <c r="D90" s="17">
        <v>4</v>
      </c>
      <c r="E90" s="17">
        <v>5</v>
      </c>
    </row>
    <row r="91" spans="1:5" ht="14.25" customHeight="1" x14ac:dyDescent="0.35">
      <c r="A91" t="s">
        <v>111</v>
      </c>
      <c r="B91" s="17">
        <v>3</v>
      </c>
      <c r="C91" s="17">
        <v>4</v>
      </c>
      <c r="D91" s="17">
        <v>3</v>
      </c>
      <c r="E91" s="17">
        <v>2</v>
      </c>
    </row>
    <row r="92" spans="1:5" ht="14.25" customHeight="1" x14ac:dyDescent="0.35">
      <c r="A92" t="s">
        <v>112</v>
      </c>
      <c r="B92" s="17">
        <v>3</v>
      </c>
      <c r="C92" s="17">
        <v>4</v>
      </c>
      <c r="D92" s="17">
        <v>3</v>
      </c>
      <c r="E92" s="17">
        <v>3</v>
      </c>
    </row>
    <row r="93" spans="1:5" ht="14.25" customHeight="1" x14ac:dyDescent="0.35">
      <c r="A93" t="s">
        <v>113</v>
      </c>
      <c r="B93" s="17">
        <v>2</v>
      </c>
      <c r="C93" s="17">
        <v>4</v>
      </c>
      <c r="D93" s="17">
        <v>2</v>
      </c>
      <c r="E93" s="17">
        <v>2</v>
      </c>
    </row>
    <row r="94" spans="1:5" ht="14.25" customHeight="1" x14ac:dyDescent="0.35">
      <c r="A94" t="s">
        <v>114</v>
      </c>
      <c r="B94" s="17">
        <v>3</v>
      </c>
      <c r="C94" s="17">
        <v>4</v>
      </c>
      <c r="D94" s="17">
        <v>3</v>
      </c>
      <c r="E94" s="17">
        <v>2</v>
      </c>
    </row>
    <row r="95" spans="1:5" ht="14.25" customHeight="1" x14ac:dyDescent="0.35">
      <c r="A95" t="s">
        <v>115</v>
      </c>
      <c r="B95" s="17">
        <v>4</v>
      </c>
      <c r="C95" s="17">
        <v>5</v>
      </c>
      <c r="D95" s="17">
        <v>3</v>
      </c>
      <c r="E95" s="17">
        <v>2</v>
      </c>
    </row>
    <row r="96" spans="1:5" ht="14.25" customHeight="1" x14ac:dyDescent="0.35">
      <c r="A96" t="s">
        <v>116</v>
      </c>
      <c r="B96" s="17">
        <v>3</v>
      </c>
      <c r="C96" s="17">
        <v>4</v>
      </c>
      <c r="D96" s="17">
        <v>3</v>
      </c>
      <c r="E96" s="17">
        <v>2</v>
      </c>
    </row>
    <row r="97" spans="1:5" ht="14.25" customHeight="1" x14ac:dyDescent="0.35">
      <c r="A97" t="s">
        <v>117</v>
      </c>
      <c r="B97" s="17">
        <v>3</v>
      </c>
      <c r="C97" s="17">
        <v>4</v>
      </c>
      <c r="D97" s="17">
        <v>3</v>
      </c>
      <c r="E97" s="17">
        <v>2</v>
      </c>
    </row>
    <row r="98" spans="1:5" ht="14.25" customHeight="1" x14ac:dyDescent="0.35">
      <c r="A98" t="s">
        <v>118</v>
      </c>
      <c r="B98" s="17">
        <v>3</v>
      </c>
      <c r="C98" s="17">
        <v>4</v>
      </c>
      <c r="D98" s="17">
        <v>3</v>
      </c>
      <c r="E98" s="17">
        <v>2</v>
      </c>
    </row>
    <row r="99" spans="1:5" ht="14.25" customHeight="1" x14ac:dyDescent="0.35">
      <c r="A99" t="s">
        <v>119</v>
      </c>
      <c r="B99" s="17">
        <v>4</v>
      </c>
      <c r="C99" s="17">
        <v>4</v>
      </c>
      <c r="D99" s="17">
        <v>3</v>
      </c>
      <c r="E99" s="17">
        <v>2</v>
      </c>
    </row>
    <row r="100" spans="1:5" ht="14.25" customHeight="1" x14ac:dyDescent="0.35">
      <c r="A100" s="15" t="s">
        <v>120</v>
      </c>
      <c r="B100" s="18">
        <f>SUM(B87:B99)</f>
        <v>39</v>
      </c>
      <c r="C100" s="18">
        <f>SUM(C87:C99)</f>
        <v>53</v>
      </c>
      <c r="D100" s="18">
        <f>SUM(D87:D99)</f>
        <v>42</v>
      </c>
      <c r="E100" s="18">
        <f>SUM(E87:E99)</f>
        <v>36</v>
      </c>
    </row>
    <row r="101" spans="1:5" ht="14.25" customHeight="1" x14ac:dyDescent="0.35">
      <c r="A101" s="15" t="s">
        <v>121</v>
      </c>
      <c r="B101" s="18" t="s">
        <v>122</v>
      </c>
      <c r="C101" s="18" t="s">
        <v>123</v>
      </c>
      <c r="D101" s="18" t="s">
        <v>124</v>
      </c>
      <c r="E101" s="18" t="s">
        <v>124</v>
      </c>
    </row>
    <row r="102" spans="1:5" ht="14.25" customHeight="1" x14ac:dyDescent="0.35">
      <c r="A102" s="15" t="s">
        <v>125</v>
      </c>
      <c r="B102" s="19"/>
      <c r="C102" s="19"/>
      <c r="D102" s="19"/>
      <c r="E102" s="19"/>
    </row>
    <row r="103" spans="1:5" ht="14.25" customHeight="1" x14ac:dyDescent="0.35">
      <c r="A103" s="15" t="s">
        <v>126</v>
      </c>
      <c r="B103" s="19"/>
      <c r="C103" s="19"/>
      <c r="D103" s="19"/>
      <c r="E103" s="1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tabSelected="1" zoomScaleNormal="100" workbookViewId="0">
      <pane ySplit="4" topLeftCell="A5" activePane="bottomLeft" state="frozen"/>
      <selection pane="bottomLeft" activeCell="P5" sqref="P5"/>
    </sheetView>
  </sheetViews>
  <sheetFormatPr defaultColWidth="8.54296875" defaultRowHeight="14.5" x14ac:dyDescent="0.35"/>
  <cols>
    <col min="1" max="1" width="16" customWidth="1"/>
    <col min="2" max="2" width="12" customWidth="1"/>
    <col min="3" max="3" width="26" customWidth="1"/>
    <col min="4" max="4" width="6" customWidth="1"/>
    <col min="5" max="5" width="12" customWidth="1"/>
    <col min="6" max="6" width="38" customWidth="1"/>
    <col min="7" max="7" width="28" customWidth="1"/>
    <col min="8" max="8" width="12" customWidth="1"/>
    <col min="9" max="9" width="10" customWidth="1"/>
    <col min="10" max="10" width="13" customWidth="1"/>
    <col min="11" max="13" width="9" customWidth="1"/>
    <col min="14" max="14" width="14" customWidth="1"/>
    <col min="15" max="15" width="10" customWidth="1"/>
    <col min="16" max="16" width="14" customWidth="1"/>
  </cols>
  <sheetData>
    <row r="1" spans="1:16" ht="17.25" customHeight="1" x14ac:dyDescent="0.45">
      <c r="A1" s="30" t="s">
        <v>204</v>
      </c>
    </row>
    <row r="2" spans="1:16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6" ht="27.75" customHeight="1" x14ac:dyDescent="0.35">
      <c r="A4" s="31" t="s">
        <v>205</v>
      </c>
      <c r="B4" s="31" t="s">
        <v>206</v>
      </c>
      <c r="C4" s="31" t="s">
        <v>135</v>
      </c>
      <c r="D4" s="31" t="s">
        <v>138</v>
      </c>
      <c r="E4" s="31" t="s">
        <v>207</v>
      </c>
      <c r="F4" s="31" t="s">
        <v>141</v>
      </c>
      <c r="G4" s="31" t="s">
        <v>142</v>
      </c>
      <c r="H4" s="31" t="s">
        <v>143</v>
      </c>
      <c r="I4" s="31" t="s">
        <v>208</v>
      </c>
      <c r="J4" s="31" t="s">
        <v>209</v>
      </c>
      <c r="K4" s="31" t="s">
        <v>210</v>
      </c>
      <c r="L4" s="31" t="s">
        <v>211</v>
      </c>
      <c r="M4" s="31" t="s">
        <v>212</v>
      </c>
      <c r="N4" s="31" t="s">
        <v>213</v>
      </c>
      <c r="O4" s="31" t="s">
        <v>214</v>
      </c>
      <c r="P4" s="31" t="s">
        <v>145</v>
      </c>
    </row>
    <row r="5" spans="1:16" ht="15" customHeight="1" x14ac:dyDescent="0.35">
      <c r="A5" s="32" t="s">
        <v>103</v>
      </c>
      <c r="B5" s="33" t="s">
        <v>147</v>
      </c>
      <c r="C5" s="33" t="s">
        <v>148</v>
      </c>
      <c r="D5" s="33">
        <v>2</v>
      </c>
      <c r="E5" s="33" t="s">
        <v>122</v>
      </c>
      <c r="F5" s="32" t="s">
        <v>149</v>
      </c>
      <c r="G5" s="32" t="s">
        <v>150</v>
      </c>
      <c r="H5" s="32" t="s">
        <v>151</v>
      </c>
      <c r="I5" s="34">
        <v>2E-3</v>
      </c>
      <c r="J5" s="35">
        <v>67998.37</v>
      </c>
      <c r="K5" s="34">
        <v>6.2600000000000003E-2</v>
      </c>
      <c r="L5" s="34">
        <v>6.9599999999999995E-2</v>
      </c>
      <c r="M5" s="34">
        <v>6.1499999999999999E-2</v>
      </c>
      <c r="N5" s="34">
        <v>6.9599999999999995E-2</v>
      </c>
      <c r="O5" s="33">
        <v>4.3099999999999999E-2</v>
      </c>
      <c r="P5" s="35">
        <f>Personas!L16</f>
        <v>17507.68694780266</v>
      </c>
    </row>
    <row r="6" spans="1:16" ht="15" customHeight="1" x14ac:dyDescent="0.35">
      <c r="A6" s="32" t="s">
        <v>103</v>
      </c>
      <c r="B6" s="33" t="s">
        <v>153</v>
      </c>
      <c r="C6" s="33" t="s">
        <v>215</v>
      </c>
      <c r="D6" s="33">
        <v>10</v>
      </c>
      <c r="E6" s="33" t="s">
        <v>122</v>
      </c>
      <c r="F6" s="32" t="s">
        <v>155</v>
      </c>
      <c r="G6" s="32" t="s">
        <v>156</v>
      </c>
      <c r="H6" s="32" t="s">
        <v>122</v>
      </c>
      <c r="I6" s="34">
        <v>7.4999999999999997E-3</v>
      </c>
      <c r="J6" s="35">
        <v>104016.21</v>
      </c>
      <c r="K6" s="34">
        <v>-4.4000000000000003E-3</v>
      </c>
      <c r="L6" s="34">
        <v>0.14710000000000001</v>
      </c>
      <c r="M6" s="34">
        <v>0.15049999999999999</v>
      </c>
      <c r="N6" s="34">
        <v>0.15049999999999999</v>
      </c>
      <c r="O6" s="33">
        <v>8.0999999999999996E-3</v>
      </c>
      <c r="P6" s="35">
        <f>Personas!L17</f>
        <v>11677.100397010792</v>
      </c>
    </row>
    <row r="7" spans="1:16" ht="15" customHeight="1" x14ac:dyDescent="0.35">
      <c r="A7" s="32" t="s">
        <v>103</v>
      </c>
      <c r="B7" s="33" t="s">
        <v>158</v>
      </c>
      <c r="C7" s="33" t="s">
        <v>159</v>
      </c>
      <c r="D7" s="33">
        <v>38</v>
      </c>
      <c r="E7" s="33" t="s">
        <v>122</v>
      </c>
      <c r="F7" s="32" t="s">
        <v>160</v>
      </c>
      <c r="G7" s="32" t="s">
        <v>161</v>
      </c>
      <c r="H7" s="32" t="s">
        <v>162</v>
      </c>
      <c r="I7" s="34">
        <v>1.14E-2</v>
      </c>
      <c r="J7" s="35">
        <v>444.49</v>
      </c>
      <c r="K7" s="34">
        <v>9.4E-2</v>
      </c>
      <c r="L7" s="34">
        <v>0.17810000000000001</v>
      </c>
      <c r="M7" s="34">
        <v>0.1227</v>
      </c>
      <c r="N7" s="34">
        <v>0.1227</v>
      </c>
      <c r="O7" s="33">
        <v>7.7000000000000002E-3</v>
      </c>
      <c r="P7" s="35">
        <f>Personas!L18</f>
        <v>16448.222088105635</v>
      </c>
    </row>
    <row r="8" spans="1:16" ht="15" customHeight="1" x14ac:dyDescent="0.35">
      <c r="A8" s="32" t="s">
        <v>104</v>
      </c>
      <c r="B8" s="33" t="s">
        <v>147</v>
      </c>
      <c r="C8" s="33" t="s">
        <v>169</v>
      </c>
      <c r="D8" s="33">
        <v>2</v>
      </c>
      <c r="E8" s="33" t="s">
        <v>123</v>
      </c>
      <c r="F8" s="32" t="s">
        <v>170</v>
      </c>
      <c r="G8" s="32" t="s">
        <v>150</v>
      </c>
      <c r="H8" s="32" t="s">
        <v>151</v>
      </c>
      <c r="I8" s="34">
        <v>2E-3</v>
      </c>
      <c r="J8" s="35">
        <v>58095.62</v>
      </c>
      <c r="K8" s="34">
        <v>6.2199999999999998E-2</v>
      </c>
      <c r="L8" s="34">
        <v>6.9699999999999998E-2</v>
      </c>
      <c r="M8" s="34">
        <v>6.1499999999999999E-2</v>
      </c>
      <c r="N8" s="34">
        <v>6.9699999999999998E-2</v>
      </c>
      <c r="O8" s="33">
        <v>4.3499999999999997E-2</v>
      </c>
      <c r="P8" s="35">
        <f>Personas!L32</f>
        <v>39388.452031312234</v>
      </c>
    </row>
    <row r="9" spans="1:16" ht="15" customHeight="1" x14ac:dyDescent="0.35">
      <c r="A9" s="32" t="s">
        <v>104</v>
      </c>
      <c r="B9" s="33" t="s">
        <v>153</v>
      </c>
      <c r="C9" s="33" t="s">
        <v>171</v>
      </c>
      <c r="D9" s="33">
        <v>11</v>
      </c>
      <c r="E9" s="33" t="s">
        <v>123</v>
      </c>
      <c r="F9" s="32" t="s">
        <v>172</v>
      </c>
      <c r="G9" s="32" t="s">
        <v>173</v>
      </c>
      <c r="H9" s="32" t="s">
        <v>174</v>
      </c>
      <c r="I9" s="34">
        <v>7.6E-3</v>
      </c>
      <c r="J9" s="35">
        <v>30146.91</v>
      </c>
      <c r="K9" s="34">
        <v>2.3E-3</v>
      </c>
      <c r="L9" s="34">
        <v>0.18140000000000001</v>
      </c>
      <c r="M9" s="34">
        <v>0.1762</v>
      </c>
      <c r="N9" s="34">
        <v>0.1762</v>
      </c>
      <c r="O9" s="33">
        <v>8.6999999999999994E-3</v>
      </c>
      <c r="P9" s="35">
        <f>Personas!L33</f>
        <v>26210.025672537307</v>
      </c>
    </row>
    <row r="10" spans="1:16" ht="15" customHeight="1" x14ac:dyDescent="0.35">
      <c r="A10" s="32" t="s">
        <v>104</v>
      </c>
      <c r="B10" s="33" t="s">
        <v>158</v>
      </c>
      <c r="C10" s="33" t="s">
        <v>159</v>
      </c>
      <c r="D10" s="33">
        <v>26</v>
      </c>
      <c r="E10" s="33" t="s">
        <v>123</v>
      </c>
      <c r="F10" s="32" t="s">
        <v>176</v>
      </c>
      <c r="G10" s="32" t="s">
        <v>161</v>
      </c>
      <c r="H10" s="32" t="s">
        <v>123</v>
      </c>
      <c r="I10" s="34">
        <v>1.29E-2</v>
      </c>
      <c r="J10" s="35">
        <v>279.76</v>
      </c>
      <c r="K10" s="34">
        <v>-2.6599999999999999E-2</v>
      </c>
      <c r="L10" s="34">
        <v>0.1201</v>
      </c>
      <c r="M10" s="34">
        <v>0.13070000000000001</v>
      </c>
      <c r="N10" s="34">
        <v>0.13070000000000001</v>
      </c>
      <c r="O10" s="33">
        <v>5.4000000000000003E-3</v>
      </c>
      <c r="P10" s="35">
        <f>Personas!L34</f>
        <v>55898.910503630956</v>
      </c>
    </row>
    <row r="11" spans="1:16" ht="15" customHeight="1" x14ac:dyDescent="0.35">
      <c r="A11" s="32" t="s">
        <v>105</v>
      </c>
      <c r="B11" s="33" t="s">
        <v>147</v>
      </c>
      <c r="C11" s="33" t="s">
        <v>182</v>
      </c>
      <c r="D11" s="33">
        <v>2</v>
      </c>
      <c r="E11" s="33" t="s">
        <v>122</v>
      </c>
      <c r="F11" s="32" t="s">
        <v>183</v>
      </c>
      <c r="G11" s="32" t="s">
        <v>150</v>
      </c>
      <c r="H11" s="32" t="s">
        <v>151</v>
      </c>
      <c r="I11" s="34">
        <v>2E-3</v>
      </c>
      <c r="J11" s="35">
        <v>31752.32</v>
      </c>
      <c r="K11" s="34">
        <v>6.2899999999999998E-2</v>
      </c>
      <c r="L11" s="34">
        <v>7.0099999999999996E-2</v>
      </c>
      <c r="M11" s="34">
        <v>6.1899999999999997E-2</v>
      </c>
      <c r="N11" s="34">
        <v>7.0099999999999996E-2</v>
      </c>
      <c r="O11" s="33">
        <v>4.58E-2</v>
      </c>
      <c r="P11" s="35">
        <f>Personas!L48</f>
        <v>52497.440534391528</v>
      </c>
    </row>
    <row r="12" spans="1:16" ht="15" customHeight="1" x14ac:dyDescent="0.35">
      <c r="A12" s="32" t="s">
        <v>105</v>
      </c>
      <c r="B12" s="33" t="s">
        <v>153</v>
      </c>
      <c r="C12" s="33" t="s">
        <v>184</v>
      </c>
      <c r="D12" s="33">
        <v>7</v>
      </c>
      <c r="E12" s="33" t="s">
        <v>122</v>
      </c>
      <c r="F12" s="32" t="s">
        <v>185</v>
      </c>
      <c r="G12" s="32" t="s">
        <v>156</v>
      </c>
      <c r="H12" s="32" t="s">
        <v>122</v>
      </c>
      <c r="I12" s="34">
        <v>7.1999999999999998E-3</v>
      </c>
      <c r="J12" s="35">
        <v>40673.49</v>
      </c>
      <c r="K12" s="34">
        <v>1.04E-2</v>
      </c>
      <c r="L12" s="34">
        <v>0.1144</v>
      </c>
      <c r="M12" s="34"/>
      <c r="N12" s="34">
        <v>0.1144</v>
      </c>
      <c r="O12" s="33">
        <v>7.6E-3</v>
      </c>
      <c r="P12" s="35">
        <f>Personas!L49</f>
        <v>52921.718387747627</v>
      </c>
    </row>
    <row r="13" spans="1:16" ht="15" customHeight="1" x14ac:dyDescent="0.35">
      <c r="A13" s="32" t="s">
        <v>105</v>
      </c>
      <c r="B13" s="33" t="s">
        <v>158</v>
      </c>
      <c r="C13" s="33" t="s">
        <v>159</v>
      </c>
      <c r="D13" s="33">
        <v>14</v>
      </c>
      <c r="E13" s="33" t="s">
        <v>122</v>
      </c>
      <c r="F13" s="32" t="s">
        <v>187</v>
      </c>
      <c r="G13" s="32" t="s">
        <v>161</v>
      </c>
      <c r="H13" s="32" t="s">
        <v>122</v>
      </c>
      <c r="I13" s="34">
        <v>9.2999999999999992E-3</v>
      </c>
      <c r="J13" s="35">
        <v>3000.31</v>
      </c>
      <c r="K13" s="34">
        <v>-5.21E-2</v>
      </c>
      <c r="L13" s="34">
        <v>9.3799999999999994E-2</v>
      </c>
      <c r="M13" s="34">
        <v>0.1258</v>
      </c>
      <c r="N13" s="34">
        <v>0.1258</v>
      </c>
      <c r="O13" s="33">
        <v>3.5000000000000001E-3</v>
      </c>
      <c r="P13" s="35">
        <f>Personas!L50</f>
        <v>139237.8274687473</v>
      </c>
    </row>
    <row r="14" spans="1:16" ht="15" customHeight="1" x14ac:dyDescent="0.35">
      <c r="A14" s="32" t="s">
        <v>106</v>
      </c>
      <c r="B14" s="33" t="s">
        <v>147</v>
      </c>
      <c r="C14" s="33" t="s">
        <v>193</v>
      </c>
      <c r="D14" s="33">
        <v>3</v>
      </c>
      <c r="E14" s="33" t="s">
        <v>122</v>
      </c>
      <c r="F14" s="32" t="s">
        <v>194</v>
      </c>
      <c r="G14" s="32" t="s">
        <v>195</v>
      </c>
      <c r="H14" s="32" t="s">
        <v>151</v>
      </c>
      <c r="I14" s="34">
        <v>4.0000000000000001E-3</v>
      </c>
      <c r="J14" s="35">
        <v>16002.16</v>
      </c>
      <c r="K14" s="34">
        <v>6.4199999999999993E-2</v>
      </c>
      <c r="L14" s="34">
        <v>7.3999999999999996E-2</v>
      </c>
      <c r="M14" s="34">
        <v>6.6000000000000003E-2</v>
      </c>
      <c r="N14" s="34">
        <v>7.3999999999999996E-2</v>
      </c>
      <c r="O14" s="33">
        <v>3.3700000000000001E-2</v>
      </c>
      <c r="P14" s="35">
        <f>Personas!L62</f>
        <v>44473.094440499699</v>
      </c>
    </row>
    <row r="15" spans="1:16" ht="15" customHeight="1" x14ac:dyDescent="0.35">
      <c r="A15" s="32" t="s">
        <v>106</v>
      </c>
      <c r="B15" s="33" t="s">
        <v>153</v>
      </c>
      <c r="C15" s="33" t="s">
        <v>197</v>
      </c>
      <c r="D15" s="33">
        <v>8</v>
      </c>
      <c r="E15" s="33" t="s">
        <v>122</v>
      </c>
      <c r="F15" s="32" t="s">
        <v>198</v>
      </c>
      <c r="G15" s="32" t="s">
        <v>199</v>
      </c>
      <c r="H15" s="32" t="s">
        <v>122</v>
      </c>
      <c r="I15" s="34">
        <v>9.1999999999999998E-3</v>
      </c>
      <c r="J15" s="35">
        <v>50032.71</v>
      </c>
      <c r="K15" s="34">
        <v>2.47E-2</v>
      </c>
      <c r="L15" s="34">
        <v>0.16370000000000001</v>
      </c>
      <c r="M15" s="34">
        <v>0.1663</v>
      </c>
      <c r="N15" s="34">
        <v>0.1663</v>
      </c>
      <c r="O15" s="33">
        <v>9.5999999999999992E-3</v>
      </c>
      <c r="P15" s="35">
        <f>Personas!L63</f>
        <v>80373.986554001211</v>
      </c>
    </row>
    <row r="16" spans="1:16" ht="15" customHeight="1" x14ac:dyDescent="0.35">
      <c r="A16" s="32" t="s">
        <v>106</v>
      </c>
      <c r="B16" s="33" t="s">
        <v>158</v>
      </c>
      <c r="C16" s="33" t="s">
        <v>201</v>
      </c>
      <c r="D16" s="33">
        <v>8</v>
      </c>
      <c r="E16" s="33" t="s">
        <v>122</v>
      </c>
      <c r="F16" s="32" t="s">
        <v>202</v>
      </c>
      <c r="G16" s="32" t="s">
        <v>161</v>
      </c>
      <c r="H16" s="32" t="s">
        <v>151</v>
      </c>
      <c r="I16" s="34">
        <v>6.7999999999999996E-3</v>
      </c>
      <c r="J16" s="35">
        <v>2145.42</v>
      </c>
      <c r="K16" s="34">
        <v>-1.24E-2</v>
      </c>
      <c r="L16" s="34">
        <v>0.13739999999999999</v>
      </c>
      <c r="M16" s="34">
        <v>0.11509999999999999</v>
      </c>
      <c r="N16" s="34">
        <v>0.11509999999999999</v>
      </c>
      <c r="O16" s="33">
        <v>6.4999999999999997E-3</v>
      </c>
      <c r="P16" s="35">
        <f>Personas!L64</f>
        <v>224173.6816381134</v>
      </c>
    </row>
  </sheetData>
  <mergeCells count="1"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66"/>
  <sheetViews>
    <sheetView zoomScale="80" zoomScaleNormal="80" workbookViewId="0">
      <selection activeCell="G32" sqref="G32"/>
    </sheetView>
  </sheetViews>
  <sheetFormatPr defaultColWidth="8.54296875" defaultRowHeight="14.5" x14ac:dyDescent="0.35"/>
  <cols>
    <col min="1" max="1" width="12.453125" bestFit="1" customWidth="1"/>
    <col min="2" max="2" width="25.08984375" bestFit="1" customWidth="1"/>
    <col min="4" max="4" width="11.90625" bestFit="1" customWidth="1"/>
    <col min="5" max="5" width="34.453125" bestFit="1" customWidth="1"/>
    <col min="6" max="6" width="14.6328125" bestFit="1" customWidth="1"/>
    <col min="7" max="7" width="13.7265625" bestFit="1" customWidth="1"/>
    <col min="8" max="8" width="44.1796875" bestFit="1" customWidth="1"/>
    <col min="9" max="9" width="31.54296875" bestFit="1" customWidth="1"/>
    <col min="10" max="10" width="16" customWidth="1"/>
    <col min="11" max="12" width="14" customWidth="1"/>
    <col min="13" max="13" width="73.90625" bestFit="1" customWidth="1"/>
  </cols>
  <sheetData>
    <row r="2" spans="1:13" ht="28.5" customHeight="1" x14ac:dyDescent="0.35">
      <c r="A2" s="5" t="s">
        <v>0</v>
      </c>
      <c r="B2" s="5" t="s">
        <v>1</v>
      </c>
      <c r="D2" s="5" t="s">
        <v>2</v>
      </c>
      <c r="E2" s="5" t="s">
        <v>3</v>
      </c>
      <c r="F2" s="5" t="s">
        <v>4</v>
      </c>
    </row>
    <row r="3" spans="1:13" ht="68.25" customHeight="1" x14ac:dyDescent="0.35">
      <c r="A3" s="6" t="s">
        <v>5</v>
      </c>
      <c r="B3" s="7">
        <v>0.06</v>
      </c>
      <c r="D3" s="8" t="s">
        <v>6</v>
      </c>
      <c r="E3" s="9" t="s">
        <v>7</v>
      </c>
      <c r="F3" s="10">
        <v>0</v>
      </c>
    </row>
    <row r="4" spans="1:13" ht="122.25" customHeight="1" x14ac:dyDescent="0.35">
      <c r="A4" s="6" t="s">
        <v>8</v>
      </c>
      <c r="B4" s="7">
        <v>0.06</v>
      </c>
      <c r="D4" s="8" t="s">
        <v>9</v>
      </c>
      <c r="E4" s="9" t="s">
        <v>10</v>
      </c>
      <c r="F4" s="10">
        <v>0.5</v>
      </c>
    </row>
    <row r="5" spans="1:13" ht="81.75" customHeight="1" x14ac:dyDescent="0.35">
      <c r="A5" s="6" t="s">
        <v>11</v>
      </c>
      <c r="B5" s="7">
        <v>0.15</v>
      </c>
      <c r="D5" s="8" t="s">
        <v>12</v>
      </c>
      <c r="E5" s="9" t="s">
        <v>13</v>
      </c>
      <c r="F5" s="10">
        <v>1</v>
      </c>
    </row>
    <row r="7" spans="1:13" ht="15" customHeight="1" x14ac:dyDescent="0.35">
      <c r="A7" s="3" t="s">
        <v>127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4.25" customHeight="1" x14ac:dyDescent="0.35">
      <c r="A8" s="20" t="s">
        <v>17</v>
      </c>
      <c r="B8" s="21" t="s">
        <v>103</v>
      </c>
    </row>
    <row r="9" spans="1:13" ht="14.25" customHeight="1" x14ac:dyDescent="0.35">
      <c r="A9" s="5" t="s">
        <v>19</v>
      </c>
      <c r="B9" s="22">
        <v>22</v>
      </c>
    </row>
    <row r="10" spans="1:13" ht="14.25" customHeight="1" x14ac:dyDescent="0.35">
      <c r="A10" s="5" t="s">
        <v>21</v>
      </c>
      <c r="B10" s="8" t="s">
        <v>128</v>
      </c>
    </row>
    <row r="11" spans="1:13" ht="14.25" customHeight="1" x14ac:dyDescent="0.35">
      <c r="A11" s="5" t="s">
        <v>23</v>
      </c>
      <c r="B11" s="8" t="s">
        <v>129</v>
      </c>
    </row>
    <row r="12" spans="1:13" ht="28.5" customHeight="1" x14ac:dyDescent="0.35">
      <c r="A12" s="5" t="s">
        <v>25</v>
      </c>
      <c r="B12" s="8" t="s">
        <v>27</v>
      </c>
    </row>
    <row r="13" spans="1:13" ht="42" customHeight="1" x14ac:dyDescent="0.35">
      <c r="A13" s="5" t="s">
        <v>130</v>
      </c>
      <c r="B13" s="8" t="s">
        <v>131</v>
      </c>
    </row>
    <row r="14" spans="1:13" ht="14.25" customHeight="1" x14ac:dyDescent="0.35">
      <c r="A14" s="5" t="s">
        <v>132</v>
      </c>
      <c r="B14" s="8" t="s">
        <v>133</v>
      </c>
    </row>
    <row r="15" spans="1:13" ht="28.5" customHeight="1" x14ac:dyDescent="0.35">
      <c r="A15" s="5" t="s">
        <v>134</v>
      </c>
      <c r="B15" s="5" t="s">
        <v>135</v>
      </c>
      <c r="C15" s="5" t="s">
        <v>136</v>
      </c>
      <c r="D15" s="5" t="s">
        <v>137</v>
      </c>
      <c r="E15" s="5" t="s">
        <v>138</v>
      </c>
      <c r="F15" s="5" t="s">
        <v>139</v>
      </c>
      <c r="G15" s="5" t="s">
        <v>140</v>
      </c>
      <c r="H15" s="5" t="s">
        <v>141</v>
      </c>
      <c r="I15" s="5" t="s">
        <v>142</v>
      </c>
      <c r="J15" s="5" t="s">
        <v>143</v>
      </c>
      <c r="K15" s="5" t="s">
        <v>144</v>
      </c>
      <c r="L15" s="5" t="s">
        <v>145</v>
      </c>
      <c r="M15" s="5" t="s">
        <v>146</v>
      </c>
    </row>
    <row r="16" spans="1:13" ht="28.5" customHeight="1" x14ac:dyDescent="0.35">
      <c r="A16" s="8" t="s">
        <v>147</v>
      </c>
      <c r="B16" s="8" t="s">
        <v>148</v>
      </c>
      <c r="C16" s="8">
        <v>22</v>
      </c>
      <c r="D16" s="8">
        <v>24</v>
      </c>
      <c r="E16" s="23">
        <f>D16-C16</f>
        <v>2</v>
      </c>
      <c r="F16" s="24">
        <v>400000</v>
      </c>
      <c r="G16" s="25">
        <f>FV($B$3,E16,0,-F16)</f>
        <v>449440.00000000006</v>
      </c>
      <c r="H16" s="9" t="s">
        <v>149</v>
      </c>
      <c r="I16" s="9" t="s">
        <v>150</v>
      </c>
      <c r="J16" s="9" t="s">
        <v>151</v>
      </c>
      <c r="K16" s="26">
        <v>6.9599999999999995E-2</v>
      </c>
      <c r="L16" s="27">
        <f>-PMT(K16/12,E16*12,0,G16,0)</f>
        <v>17507.68694780266</v>
      </c>
      <c r="M16" s="36" t="s">
        <v>152</v>
      </c>
    </row>
    <row r="17" spans="1:13" ht="28.5" customHeight="1" x14ac:dyDescent="0.35">
      <c r="A17" s="8" t="s">
        <v>153</v>
      </c>
      <c r="B17" s="8" t="s">
        <v>154</v>
      </c>
      <c r="C17" s="8">
        <v>22</v>
      </c>
      <c r="D17" s="8">
        <v>32</v>
      </c>
      <c r="E17" s="23">
        <f>D17-C17</f>
        <v>10</v>
      </c>
      <c r="F17" s="24">
        <v>1800000</v>
      </c>
      <c r="G17" s="25">
        <f>FV($B$3,E17,0,-F17)</f>
        <v>3223525.8537771381</v>
      </c>
      <c r="H17" s="9" t="s">
        <v>155</v>
      </c>
      <c r="I17" s="9" t="s">
        <v>156</v>
      </c>
      <c r="J17" s="9" t="s">
        <v>122</v>
      </c>
      <c r="K17" s="26">
        <v>0.15049999999999999</v>
      </c>
      <c r="L17" s="27">
        <f>-PMT(K17/12,E17*12,0,G17,0)</f>
        <v>11677.100397010792</v>
      </c>
      <c r="M17" s="36" t="s">
        <v>157</v>
      </c>
    </row>
    <row r="18" spans="1:13" ht="28.5" customHeight="1" x14ac:dyDescent="0.35">
      <c r="A18" s="8" t="s">
        <v>158</v>
      </c>
      <c r="B18" s="8" t="s">
        <v>159</v>
      </c>
      <c r="C18" s="8">
        <v>22</v>
      </c>
      <c r="D18" s="8">
        <v>60</v>
      </c>
      <c r="E18" s="23">
        <f>D18-C18</f>
        <v>38</v>
      </c>
      <c r="F18" s="24">
        <v>18000000</v>
      </c>
      <c r="G18" s="25">
        <f>FV($B$3,E18,0,-F18)</f>
        <v>164776542.24658838</v>
      </c>
      <c r="H18" s="9" t="s">
        <v>160</v>
      </c>
      <c r="I18" s="9" t="s">
        <v>161</v>
      </c>
      <c r="J18" s="9" t="s">
        <v>162</v>
      </c>
      <c r="K18" s="26">
        <v>0.1227</v>
      </c>
      <c r="L18" s="27">
        <f>-PMT(K18/12,E18*12,0,G18,0)</f>
        <v>16448.222088105635</v>
      </c>
      <c r="M18" s="36" t="s">
        <v>163</v>
      </c>
    </row>
    <row r="19" spans="1:13" ht="14.25" customHeight="1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14.2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5"/>
      <c r="K20" s="28" t="s">
        <v>164</v>
      </c>
      <c r="L20" s="28">
        <f>SUM(L16:L18)</f>
        <v>45633.009432919091</v>
      </c>
      <c r="M20" s="28"/>
    </row>
    <row r="23" spans="1:13" ht="15" customHeight="1" x14ac:dyDescent="0.35">
      <c r="A23" s="2" t="s">
        <v>165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4.25" customHeight="1" x14ac:dyDescent="0.35">
      <c r="A24" s="5" t="s">
        <v>17</v>
      </c>
      <c r="B24" s="8" t="s">
        <v>104</v>
      </c>
    </row>
    <row r="25" spans="1:13" ht="14.25" customHeight="1" x14ac:dyDescent="0.35">
      <c r="A25" s="5" t="s">
        <v>19</v>
      </c>
      <c r="B25" s="22">
        <v>34</v>
      </c>
    </row>
    <row r="26" spans="1:13" ht="14.25" customHeight="1" x14ac:dyDescent="0.35">
      <c r="A26" s="5" t="s">
        <v>21</v>
      </c>
      <c r="B26" s="8" t="s">
        <v>166</v>
      </c>
    </row>
    <row r="27" spans="1:13" ht="14.25" customHeight="1" x14ac:dyDescent="0.35">
      <c r="A27" s="5" t="s">
        <v>23</v>
      </c>
      <c r="B27" s="8" t="s">
        <v>167</v>
      </c>
    </row>
    <row r="28" spans="1:13" ht="28.5" customHeight="1" x14ac:dyDescent="0.35">
      <c r="A28" s="5" t="s">
        <v>25</v>
      </c>
      <c r="B28" s="8" t="s">
        <v>29</v>
      </c>
    </row>
    <row r="29" spans="1:13" ht="42" customHeight="1" x14ac:dyDescent="0.35">
      <c r="A29" s="5" t="s">
        <v>130</v>
      </c>
      <c r="B29" s="8" t="s">
        <v>168</v>
      </c>
    </row>
    <row r="30" spans="1:13" ht="14.25" customHeight="1" x14ac:dyDescent="0.35">
      <c r="A30" s="5" t="s">
        <v>132</v>
      </c>
      <c r="B30" s="8" t="s">
        <v>123</v>
      </c>
    </row>
    <row r="31" spans="1:13" ht="28.5" customHeight="1" x14ac:dyDescent="0.35">
      <c r="A31" s="5" t="s">
        <v>134</v>
      </c>
      <c r="B31" s="5" t="s">
        <v>135</v>
      </c>
      <c r="C31" s="5" t="s">
        <v>136</v>
      </c>
      <c r="D31" s="5" t="s">
        <v>137</v>
      </c>
      <c r="E31" s="5" t="s">
        <v>138</v>
      </c>
      <c r="F31" s="5" t="s">
        <v>139</v>
      </c>
      <c r="G31" s="5" t="s">
        <v>140</v>
      </c>
      <c r="H31" s="5" t="s">
        <v>141</v>
      </c>
      <c r="I31" s="5" t="s">
        <v>142</v>
      </c>
      <c r="J31" s="5" t="s">
        <v>143</v>
      </c>
      <c r="K31" s="5" t="s">
        <v>144</v>
      </c>
      <c r="L31" s="5" t="s">
        <v>145</v>
      </c>
      <c r="M31" s="5" t="s">
        <v>146</v>
      </c>
    </row>
    <row r="32" spans="1:13" ht="42.75" customHeight="1" x14ac:dyDescent="0.35">
      <c r="A32" s="8" t="s">
        <v>147</v>
      </c>
      <c r="B32" s="8" t="s">
        <v>169</v>
      </c>
      <c r="C32" s="8">
        <v>34</v>
      </c>
      <c r="D32" s="8">
        <v>36</v>
      </c>
      <c r="E32" s="23">
        <f>D32-C32</f>
        <v>2</v>
      </c>
      <c r="F32" s="24">
        <v>900000</v>
      </c>
      <c r="G32" s="25">
        <f>FV($B$3,E32,0,-F32)</f>
        <v>1011240.0000000001</v>
      </c>
      <c r="H32" s="9" t="s">
        <v>170</v>
      </c>
      <c r="I32" s="9" t="s">
        <v>150</v>
      </c>
      <c r="J32" s="9" t="s">
        <v>151</v>
      </c>
      <c r="K32" s="26">
        <v>6.9699999999999998E-2</v>
      </c>
      <c r="L32" s="27">
        <f>-PMT(K32/12,E32*12,0,G32,0)</f>
        <v>39388.452031312234</v>
      </c>
      <c r="M32" s="37" t="s">
        <v>152</v>
      </c>
    </row>
    <row r="33" spans="1:13" ht="28.5" customHeight="1" x14ac:dyDescent="0.35">
      <c r="A33" s="8" t="s">
        <v>153</v>
      </c>
      <c r="B33" s="8" t="s">
        <v>171</v>
      </c>
      <c r="C33" s="8">
        <v>34</v>
      </c>
      <c r="D33" s="8">
        <v>45</v>
      </c>
      <c r="E33" s="23">
        <f>D33-C33</f>
        <v>11</v>
      </c>
      <c r="F33" s="24">
        <v>5500000</v>
      </c>
      <c r="G33" s="25">
        <f>FV($B$3,E33,0,-F33)</f>
        <v>10440642.070844844</v>
      </c>
      <c r="H33" s="9" t="s">
        <v>172</v>
      </c>
      <c r="I33" s="9" t="s">
        <v>173</v>
      </c>
      <c r="J33" s="9" t="s">
        <v>174</v>
      </c>
      <c r="K33" s="26">
        <v>0.1762</v>
      </c>
      <c r="L33" s="27">
        <f>-PMT(K33/12,E33*12,0,G33,0)</f>
        <v>26210.025672537307</v>
      </c>
      <c r="M33" s="37" t="s">
        <v>175</v>
      </c>
    </row>
    <row r="34" spans="1:13" ht="28.5" customHeight="1" x14ac:dyDescent="0.35">
      <c r="A34" s="8" t="s">
        <v>158</v>
      </c>
      <c r="B34" s="8" t="s">
        <v>159</v>
      </c>
      <c r="C34" s="8">
        <v>34</v>
      </c>
      <c r="D34" s="8">
        <v>60</v>
      </c>
      <c r="E34" s="23">
        <f>D34-C34</f>
        <v>26</v>
      </c>
      <c r="F34" s="24">
        <v>32000000</v>
      </c>
      <c r="G34" s="25">
        <f>FV($B$3,E34,0,-F34)</f>
        <v>145580254.81369913</v>
      </c>
      <c r="H34" s="9" t="s">
        <v>176</v>
      </c>
      <c r="I34" s="9" t="s">
        <v>161</v>
      </c>
      <c r="J34" s="9" t="s">
        <v>123</v>
      </c>
      <c r="K34" s="26">
        <v>0.13070000000000001</v>
      </c>
      <c r="L34" s="27">
        <f>-PMT(K34/12,E34*12,0,G34,0)</f>
        <v>55898.910503630956</v>
      </c>
      <c r="M34" s="37" t="s">
        <v>177</v>
      </c>
    </row>
    <row r="35" spans="1:13" ht="14.25" customHeight="1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ht="14.25" customHeight="1" x14ac:dyDescent="0.35">
      <c r="A36" s="6"/>
      <c r="B36" s="6"/>
      <c r="C36" s="6"/>
      <c r="D36" s="6"/>
      <c r="E36" s="6"/>
      <c r="F36" s="6"/>
      <c r="G36" s="6"/>
      <c r="H36" s="6"/>
      <c r="I36" s="6"/>
      <c r="J36" s="5"/>
      <c r="K36" s="28" t="s">
        <v>164</v>
      </c>
      <c r="L36" s="28">
        <f>SUM(L32:L34)</f>
        <v>121497.38820748049</v>
      </c>
      <c r="M36" s="28"/>
    </row>
    <row r="39" spans="1:13" ht="15" customHeight="1" x14ac:dyDescent="0.35">
      <c r="A39" s="2" t="s">
        <v>178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4.25" customHeight="1" x14ac:dyDescent="0.35">
      <c r="A40" s="5" t="s">
        <v>17</v>
      </c>
      <c r="B40" s="8" t="s">
        <v>105</v>
      </c>
    </row>
    <row r="41" spans="1:13" ht="14.25" customHeight="1" x14ac:dyDescent="0.35">
      <c r="A41" s="5" t="s">
        <v>19</v>
      </c>
      <c r="B41" s="22">
        <v>46</v>
      </c>
    </row>
    <row r="42" spans="1:13" ht="14.25" customHeight="1" x14ac:dyDescent="0.35">
      <c r="A42" s="5" t="s">
        <v>21</v>
      </c>
      <c r="B42" s="8" t="s">
        <v>179</v>
      </c>
    </row>
    <row r="43" spans="1:13" ht="14.25" customHeight="1" x14ac:dyDescent="0.35">
      <c r="A43" s="5" t="s">
        <v>23</v>
      </c>
      <c r="B43" s="8" t="s">
        <v>180</v>
      </c>
    </row>
    <row r="44" spans="1:13" ht="28.5" customHeight="1" x14ac:dyDescent="0.35">
      <c r="A44" s="5" t="s">
        <v>25</v>
      </c>
      <c r="B44" s="8" t="s">
        <v>30</v>
      </c>
    </row>
    <row r="45" spans="1:13" ht="56.25" customHeight="1" x14ac:dyDescent="0.35">
      <c r="A45" s="5" t="s">
        <v>37</v>
      </c>
      <c r="B45" s="8" t="s">
        <v>181</v>
      </c>
    </row>
    <row r="46" spans="1:13" ht="14.25" customHeight="1" x14ac:dyDescent="0.35">
      <c r="A46" s="5" t="s">
        <v>132</v>
      </c>
      <c r="B46" s="29" t="s">
        <v>122</v>
      </c>
    </row>
    <row r="47" spans="1:13" ht="28.5" customHeight="1" x14ac:dyDescent="0.35">
      <c r="A47" s="5" t="s">
        <v>134</v>
      </c>
      <c r="B47" s="5" t="s">
        <v>135</v>
      </c>
      <c r="C47" s="5" t="s">
        <v>136</v>
      </c>
      <c r="D47" s="5" t="s">
        <v>137</v>
      </c>
      <c r="E47" s="5" t="s">
        <v>138</v>
      </c>
      <c r="F47" s="5" t="s">
        <v>139</v>
      </c>
      <c r="G47" s="5" t="s">
        <v>140</v>
      </c>
      <c r="H47" s="5" t="s">
        <v>141</v>
      </c>
      <c r="I47" s="5" t="s">
        <v>142</v>
      </c>
      <c r="J47" s="5" t="s">
        <v>143</v>
      </c>
      <c r="K47" s="5" t="s">
        <v>144</v>
      </c>
      <c r="L47" s="5" t="s">
        <v>145</v>
      </c>
      <c r="M47" s="5" t="s">
        <v>146</v>
      </c>
    </row>
    <row r="48" spans="1:13" ht="28.5" customHeight="1" x14ac:dyDescent="0.35">
      <c r="A48" s="8" t="s">
        <v>147</v>
      </c>
      <c r="B48" s="8" t="s">
        <v>182</v>
      </c>
      <c r="C48" s="8">
        <v>46</v>
      </c>
      <c r="D48" s="8">
        <v>48</v>
      </c>
      <c r="E48" s="23">
        <f>D48-C48</f>
        <v>2</v>
      </c>
      <c r="F48" s="24">
        <v>1200000</v>
      </c>
      <c r="G48" s="25">
        <f>FV($B$3,E48,0,-F48)</f>
        <v>1348320.0000000002</v>
      </c>
      <c r="H48" s="9" t="s">
        <v>183</v>
      </c>
      <c r="I48" s="9" t="s">
        <v>150</v>
      </c>
      <c r="J48" s="9" t="s">
        <v>151</v>
      </c>
      <c r="K48" s="26">
        <v>7.0099999999999996E-2</v>
      </c>
      <c r="L48" s="27">
        <f>-PMT(K48/12,E48*12,0,G48,0)</f>
        <v>52497.440534391528</v>
      </c>
      <c r="M48" s="37" t="s">
        <v>152</v>
      </c>
    </row>
    <row r="49" spans="1:13" ht="28.5" customHeight="1" x14ac:dyDescent="0.35">
      <c r="A49" s="8" t="s">
        <v>153</v>
      </c>
      <c r="B49" s="8" t="s">
        <v>184</v>
      </c>
      <c r="C49" s="8">
        <v>46</v>
      </c>
      <c r="D49" s="8">
        <v>53</v>
      </c>
      <c r="E49" s="23">
        <f>D49-C49</f>
        <v>7</v>
      </c>
      <c r="F49" s="24">
        <v>4500000</v>
      </c>
      <c r="G49" s="25">
        <f>FV($B$3,E49,0,-F49)</f>
        <v>6766336.1654611239</v>
      </c>
      <c r="H49" s="9" t="s">
        <v>185</v>
      </c>
      <c r="I49" s="9" t="s">
        <v>156</v>
      </c>
      <c r="J49" s="9" t="s">
        <v>122</v>
      </c>
      <c r="K49" s="26">
        <v>0.1144</v>
      </c>
      <c r="L49" s="27">
        <f>-PMT(K49/12,E49*12,0,G49,0)</f>
        <v>52921.718387747627</v>
      </c>
      <c r="M49" s="37" t="s">
        <v>186</v>
      </c>
    </row>
    <row r="50" spans="1:13" ht="28.5" customHeight="1" x14ac:dyDescent="0.35">
      <c r="A50" s="8" t="s">
        <v>158</v>
      </c>
      <c r="B50" s="8" t="s">
        <v>159</v>
      </c>
      <c r="C50" s="8">
        <v>46</v>
      </c>
      <c r="D50" s="8">
        <v>60</v>
      </c>
      <c r="E50" s="23">
        <f>D50-C50</f>
        <v>14</v>
      </c>
      <c r="F50" s="24">
        <v>28000000</v>
      </c>
      <c r="G50" s="25">
        <f>FV($B$3,E50,0,-F50)</f>
        <v>63305310.761123933</v>
      </c>
      <c r="H50" s="9" t="s">
        <v>187</v>
      </c>
      <c r="I50" s="9" t="s">
        <v>161</v>
      </c>
      <c r="J50" s="9" t="s">
        <v>122</v>
      </c>
      <c r="K50" s="26">
        <v>0.1258</v>
      </c>
      <c r="L50" s="27">
        <f>-PMT(K50/12,E50*12,0,G50,0)</f>
        <v>139237.8274687473</v>
      </c>
      <c r="M50" s="37" t="s">
        <v>188</v>
      </c>
    </row>
    <row r="51" spans="1:13" ht="14.25" customHeight="1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ht="14.25" customHeight="1" x14ac:dyDescent="0.35">
      <c r="A52" s="6"/>
      <c r="B52" s="6"/>
      <c r="C52" s="6"/>
      <c r="D52" s="6"/>
      <c r="E52" s="6"/>
      <c r="F52" s="6"/>
      <c r="G52" s="6"/>
      <c r="H52" s="6"/>
      <c r="I52" s="6"/>
      <c r="J52" s="5"/>
      <c r="K52" s="28" t="s">
        <v>164</v>
      </c>
      <c r="L52" s="28">
        <f>SUM(L48:L50)</f>
        <v>244656.98639088645</v>
      </c>
      <c r="M52" s="28"/>
    </row>
    <row r="53" spans="1:13" ht="15" customHeight="1" x14ac:dyDescent="0.35">
      <c r="A53" s="2" t="s">
        <v>189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4.25" customHeight="1" x14ac:dyDescent="0.35">
      <c r="A54" s="5" t="s">
        <v>17</v>
      </c>
      <c r="B54" s="8" t="s">
        <v>106</v>
      </c>
    </row>
    <row r="55" spans="1:13" ht="14.25" customHeight="1" x14ac:dyDescent="0.35">
      <c r="A55" s="5" t="s">
        <v>19</v>
      </c>
      <c r="B55" s="22">
        <v>52</v>
      </c>
    </row>
    <row r="56" spans="1:13" ht="14.25" customHeight="1" x14ac:dyDescent="0.35">
      <c r="A56" s="5" t="s">
        <v>21</v>
      </c>
      <c r="B56" s="8" t="s">
        <v>190</v>
      </c>
    </row>
    <row r="57" spans="1:13" ht="14.25" customHeight="1" x14ac:dyDescent="0.35">
      <c r="A57" s="5" t="s">
        <v>23</v>
      </c>
      <c r="B57" s="8" t="s">
        <v>191</v>
      </c>
    </row>
    <row r="58" spans="1:13" ht="28.5" customHeight="1" x14ac:dyDescent="0.35">
      <c r="A58" s="5" t="s">
        <v>25</v>
      </c>
      <c r="B58" s="8" t="s">
        <v>31</v>
      </c>
    </row>
    <row r="59" spans="1:13" ht="56.25" customHeight="1" x14ac:dyDescent="0.35">
      <c r="A59" s="5" t="s">
        <v>37</v>
      </c>
      <c r="B59" s="8" t="s">
        <v>192</v>
      </c>
    </row>
    <row r="60" spans="1:13" ht="14.25" customHeight="1" x14ac:dyDescent="0.35">
      <c r="A60" s="5" t="s">
        <v>132</v>
      </c>
      <c r="B60" s="29" t="s">
        <v>122</v>
      </c>
    </row>
    <row r="61" spans="1:13" ht="28.5" customHeight="1" x14ac:dyDescent="0.35">
      <c r="A61" s="5" t="s">
        <v>134</v>
      </c>
      <c r="B61" s="5" t="s">
        <v>135</v>
      </c>
      <c r="C61" s="5" t="s">
        <v>136</v>
      </c>
      <c r="D61" s="5" t="s">
        <v>137</v>
      </c>
      <c r="E61" s="5" t="s">
        <v>138</v>
      </c>
      <c r="F61" s="5" t="s">
        <v>139</v>
      </c>
      <c r="G61" s="5" t="s">
        <v>140</v>
      </c>
      <c r="H61" s="5" t="s">
        <v>141</v>
      </c>
      <c r="I61" s="5" t="s">
        <v>142</v>
      </c>
      <c r="J61" s="5" t="s">
        <v>143</v>
      </c>
      <c r="K61" s="5" t="s">
        <v>144</v>
      </c>
      <c r="L61" s="5" t="s">
        <v>145</v>
      </c>
      <c r="M61" s="5" t="s">
        <v>146</v>
      </c>
    </row>
    <row r="62" spans="1:13" ht="42" customHeight="1" x14ac:dyDescent="0.35">
      <c r="A62" s="8" t="s">
        <v>147</v>
      </c>
      <c r="B62" s="8" t="s">
        <v>193</v>
      </c>
      <c r="C62" s="8">
        <v>52</v>
      </c>
      <c r="D62" s="8">
        <v>55</v>
      </c>
      <c r="E62" s="23">
        <f>D62-C62</f>
        <v>3</v>
      </c>
      <c r="F62" s="24">
        <v>1500000</v>
      </c>
      <c r="G62" s="25">
        <f>FV($B$3,E62,0,-F62)</f>
        <v>1786524.0000000005</v>
      </c>
      <c r="H62" s="9" t="s">
        <v>194</v>
      </c>
      <c r="I62" s="9" t="s">
        <v>195</v>
      </c>
      <c r="J62" s="9" t="s">
        <v>151</v>
      </c>
      <c r="K62" s="26">
        <v>7.3999999999999996E-2</v>
      </c>
      <c r="L62" s="27">
        <f>-PMT(K62/12,E62*12,0,G62,0)</f>
        <v>44473.094440499699</v>
      </c>
      <c r="M62" s="37" t="s">
        <v>196</v>
      </c>
    </row>
    <row r="63" spans="1:13" ht="28.5" customHeight="1" x14ac:dyDescent="0.35">
      <c r="A63" s="8" t="s">
        <v>153</v>
      </c>
      <c r="B63" s="8" t="s">
        <v>197</v>
      </c>
      <c r="C63" s="8">
        <v>52</v>
      </c>
      <c r="D63" s="8">
        <v>60</v>
      </c>
      <c r="E63" s="23">
        <f>D63-C63</f>
        <v>8</v>
      </c>
      <c r="F63" s="24">
        <v>10000000</v>
      </c>
      <c r="G63" s="25">
        <f>FV($B$3,E63,0,-F63)</f>
        <v>15938480.745308423</v>
      </c>
      <c r="H63" s="9" t="s">
        <v>198</v>
      </c>
      <c r="I63" s="9" t="s">
        <v>199</v>
      </c>
      <c r="J63" s="9" t="s">
        <v>122</v>
      </c>
      <c r="K63" s="26">
        <v>0.1663</v>
      </c>
      <c r="L63" s="27">
        <f>-PMT(K63/12,E63*12,0,G63,0)</f>
        <v>80373.986554001211</v>
      </c>
      <c r="M63" s="37" t="s">
        <v>200</v>
      </c>
    </row>
    <row r="64" spans="1:13" ht="28.5" customHeight="1" x14ac:dyDescent="0.35">
      <c r="A64" s="8" t="s">
        <v>158</v>
      </c>
      <c r="B64" s="8" t="s">
        <v>201</v>
      </c>
      <c r="C64" s="8">
        <v>52</v>
      </c>
      <c r="D64" s="8">
        <v>60</v>
      </c>
      <c r="E64" s="23">
        <f>D64-C64</f>
        <v>8</v>
      </c>
      <c r="F64" s="24">
        <v>22000000</v>
      </c>
      <c r="G64" s="25">
        <f>FV($B$3,E64,0,-F64)</f>
        <v>35064657.63967853</v>
      </c>
      <c r="H64" s="9" t="s">
        <v>202</v>
      </c>
      <c r="I64" s="9" t="s">
        <v>161</v>
      </c>
      <c r="J64" s="9" t="s">
        <v>151</v>
      </c>
      <c r="K64" s="26">
        <v>0.11509999999999999</v>
      </c>
      <c r="L64" s="27">
        <f>-PMT(K64/12,E64*12,0,G64,0)</f>
        <v>224173.6816381134</v>
      </c>
      <c r="M64" s="37" t="s">
        <v>203</v>
      </c>
    </row>
    <row r="65" spans="1:13" ht="14.25" customHeight="1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ht="14.25" customHeight="1" x14ac:dyDescent="0.35">
      <c r="A66" s="6"/>
      <c r="B66" s="6"/>
      <c r="C66" s="6"/>
      <c r="D66" s="6"/>
      <c r="E66" s="6"/>
      <c r="F66" s="6"/>
      <c r="G66" s="6"/>
      <c r="H66" s="6"/>
      <c r="I66" s="6"/>
      <c r="J66" s="5"/>
      <c r="K66" s="28" t="s">
        <v>164</v>
      </c>
      <c r="L66" s="28">
        <f>SUM(L62:L64)</f>
        <v>349020.76263261429</v>
      </c>
      <c r="M66" s="28"/>
    </row>
  </sheetData>
  <mergeCells count="4">
    <mergeCell ref="A7:M7"/>
    <mergeCell ref="A23:M23"/>
    <mergeCell ref="A39:M39"/>
    <mergeCell ref="A53:M53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Questionnaire</vt:lpstr>
      <vt:lpstr>Mutual Fund Selection</vt:lpstr>
      <vt:lpstr>Personas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nishtha.dalal0025@outlook.com</dc:creator>
  <dc:description/>
  <cp:lastModifiedBy>nishtha.dalal0025@outlook.com</cp:lastModifiedBy>
  <cp:revision>0</cp:revision>
  <dcterms:created xsi:type="dcterms:W3CDTF">2026-06-03T17:44:11Z</dcterms:created>
  <dcterms:modified xsi:type="dcterms:W3CDTF">2026-06-21T18:20:11Z</dcterms:modified>
  <dc:language>en-US</dc:language>
</cp:coreProperties>
</file>