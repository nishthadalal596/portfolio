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A2CEF376-167B-4309-BD4D-7910EBE8A899}" xr6:coauthVersionLast="47" xr6:coauthVersionMax="47" xr10:uidLastSave="{00000000-0000-0000-0000-000000000000}"/>
  <bookViews>
    <workbookView xWindow="-110" yWindow="-110" windowWidth="19420" windowHeight="11500" xr2:uid="{A383867E-CE28-4D62-B9D9-7FCAB16300AC}"/>
  </bookViews>
  <sheets>
    <sheet name="Index" sheetId="1" r:id="rId1"/>
    <sheet name="Analysis" sheetId="2" r:id="rId2"/>
    <sheet name="Ratios" sheetId="3" r:id="rId3"/>
    <sheet name="Asset Allocatio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1" i="4" l="1"/>
  <c r="D280" i="4"/>
  <c r="D279" i="4"/>
  <c r="D278" i="4"/>
  <c r="D277" i="4"/>
  <c r="D283" i="4" s="1"/>
  <c r="D285" i="4" s="1"/>
  <c r="D270" i="4"/>
  <c r="D269" i="4"/>
  <c r="D268" i="4"/>
  <c r="D267" i="4"/>
  <c r="D266" i="4"/>
  <c r="D369" i="1"/>
  <c r="D370" i="1"/>
  <c r="D371" i="1"/>
  <c r="D372" i="1"/>
  <c r="D373" i="1"/>
  <c r="D374" i="1"/>
  <c r="D375" i="1"/>
  <c r="D376" i="1"/>
  <c r="D377" i="1"/>
  <c r="D368" i="1"/>
  <c r="H369" i="1"/>
  <c r="H370" i="1"/>
  <c r="H371" i="1"/>
  <c r="H372" i="1"/>
  <c r="H373" i="1"/>
  <c r="H374" i="1"/>
  <c r="H375" i="1"/>
  <c r="H376" i="1"/>
  <c r="H377" i="1"/>
  <c r="H368" i="1"/>
  <c r="D354" i="1"/>
  <c r="D355" i="1"/>
  <c r="D356" i="1"/>
  <c r="D357" i="1"/>
  <c r="D358" i="1"/>
  <c r="D359" i="1"/>
  <c r="D360" i="1"/>
  <c r="D361" i="1"/>
  <c r="D362" i="1"/>
  <c r="D353" i="1"/>
  <c r="H354" i="1"/>
  <c r="H355" i="1"/>
  <c r="H356" i="1"/>
  <c r="H357" i="1"/>
  <c r="H358" i="1"/>
  <c r="H359" i="1"/>
  <c r="H360" i="1"/>
  <c r="H361" i="1"/>
  <c r="H362" i="1"/>
  <c r="F377" i="1"/>
  <c r="C377" i="1"/>
  <c r="F376" i="1"/>
  <c r="C376" i="1"/>
  <c r="F375" i="1"/>
  <c r="C375" i="1"/>
  <c r="F374" i="1"/>
  <c r="C374" i="1"/>
  <c r="F373" i="1"/>
  <c r="C373" i="1"/>
  <c r="F372" i="1"/>
  <c r="G372" i="1" s="1"/>
  <c r="C372" i="1"/>
  <c r="F371" i="1"/>
  <c r="G371" i="1" s="1"/>
  <c r="C371" i="1"/>
  <c r="F370" i="1"/>
  <c r="C370" i="1"/>
  <c r="F369" i="1"/>
  <c r="C369" i="1"/>
  <c r="F368" i="1"/>
  <c r="C368" i="1"/>
  <c r="F362" i="1"/>
  <c r="G362" i="1" s="1"/>
  <c r="C362" i="1"/>
  <c r="F361" i="1"/>
  <c r="G361" i="1" s="1"/>
  <c r="C361" i="1"/>
  <c r="F360" i="1"/>
  <c r="G360" i="1" s="1"/>
  <c r="C360" i="1"/>
  <c r="F359" i="1"/>
  <c r="G359" i="1" s="1"/>
  <c r="C359" i="1"/>
  <c r="F358" i="1"/>
  <c r="G358" i="1" s="1"/>
  <c r="C358" i="1"/>
  <c r="F357" i="1"/>
  <c r="G357" i="1" s="1"/>
  <c r="C357" i="1"/>
  <c r="F356" i="1"/>
  <c r="G356" i="1" s="1"/>
  <c r="C356" i="1"/>
  <c r="F355" i="1"/>
  <c r="G355" i="1" s="1"/>
  <c r="C355" i="1"/>
  <c r="F354" i="1"/>
  <c r="G354" i="1" s="1"/>
  <c r="H353" i="1" s="1"/>
  <c r="C354" i="1"/>
  <c r="F353" i="1"/>
  <c r="G353" i="1" s="1"/>
  <c r="C353" i="1"/>
  <c r="D259" i="4"/>
  <c r="D258" i="4"/>
  <c r="D257" i="4"/>
  <c r="D256" i="4"/>
  <c r="D255" i="4"/>
  <c r="D248" i="4"/>
  <c r="D247" i="4"/>
  <c r="D246" i="4"/>
  <c r="D245" i="4"/>
  <c r="D244" i="4"/>
  <c r="D237" i="4"/>
  <c r="D236" i="4"/>
  <c r="D235" i="4"/>
  <c r="D234" i="4"/>
  <c r="D233" i="4"/>
  <c r="D339" i="1"/>
  <c r="D340" i="1"/>
  <c r="D341" i="1"/>
  <c r="D342" i="1"/>
  <c r="D343" i="1"/>
  <c r="D344" i="1"/>
  <c r="D345" i="1"/>
  <c r="D346" i="1"/>
  <c r="D347" i="1"/>
  <c r="D338" i="1"/>
  <c r="H339" i="1"/>
  <c r="H340" i="1"/>
  <c r="H341" i="1"/>
  <c r="H342" i="1"/>
  <c r="H343" i="1"/>
  <c r="H344" i="1"/>
  <c r="H345" i="1"/>
  <c r="H346" i="1"/>
  <c r="H347" i="1"/>
  <c r="H338" i="1"/>
  <c r="D324" i="1"/>
  <c r="D325" i="1"/>
  <c r="D326" i="1"/>
  <c r="D327" i="1"/>
  <c r="D328" i="1"/>
  <c r="D329" i="1"/>
  <c r="D330" i="1"/>
  <c r="D331" i="1"/>
  <c r="D332" i="1"/>
  <c r="D323" i="1"/>
  <c r="H324" i="1"/>
  <c r="H325" i="1"/>
  <c r="H326" i="1"/>
  <c r="H327" i="1"/>
  <c r="H328" i="1"/>
  <c r="H329" i="1"/>
  <c r="H330" i="1"/>
  <c r="H331" i="1"/>
  <c r="H332" i="1"/>
  <c r="H323" i="1"/>
  <c r="F347" i="1"/>
  <c r="C347" i="1"/>
  <c r="F346" i="1"/>
  <c r="C346" i="1"/>
  <c r="F345" i="1"/>
  <c r="C345" i="1"/>
  <c r="F344" i="1"/>
  <c r="C344" i="1"/>
  <c r="F343" i="1"/>
  <c r="C343" i="1"/>
  <c r="F342" i="1"/>
  <c r="C342" i="1"/>
  <c r="F341" i="1"/>
  <c r="C341" i="1"/>
  <c r="F340" i="1"/>
  <c r="C340" i="1"/>
  <c r="F339" i="1"/>
  <c r="C339" i="1"/>
  <c r="F338" i="1"/>
  <c r="G338" i="1" s="1"/>
  <c r="C338" i="1"/>
  <c r="H309" i="1"/>
  <c r="H310" i="1"/>
  <c r="H311" i="1"/>
  <c r="H312" i="1"/>
  <c r="H313" i="1"/>
  <c r="H314" i="1"/>
  <c r="H315" i="1"/>
  <c r="H316" i="1"/>
  <c r="H317" i="1"/>
  <c r="H308" i="1"/>
  <c r="D226" i="4"/>
  <c r="D225" i="4"/>
  <c r="D224" i="4"/>
  <c r="D223" i="4"/>
  <c r="D222" i="4"/>
  <c r="D215" i="4"/>
  <c r="D214" i="4"/>
  <c r="D213" i="4"/>
  <c r="D212" i="4"/>
  <c r="D211" i="4"/>
  <c r="D217" i="4" s="1"/>
  <c r="D219" i="4" s="1"/>
  <c r="D204" i="4"/>
  <c r="D203" i="4"/>
  <c r="D202" i="4"/>
  <c r="D201" i="4"/>
  <c r="D200" i="4"/>
  <c r="D193" i="4"/>
  <c r="D192" i="4"/>
  <c r="D191" i="4"/>
  <c r="D190" i="4"/>
  <c r="D189" i="4"/>
  <c r="D195" i="4" s="1"/>
  <c r="D197" i="4" s="1"/>
  <c r="H294" i="1"/>
  <c r="H295" i="1"/>
  <c r="H296" i="1"/>
  <c r="H297" i="1"/>
  <c r="H298" i="1"/>
  <c r="H299" i="1"/>
  <c r="H300" i="1"/>
  <c r="H301" i="1"/>
  <c r="H302" i="1"/>
  <c r="H293" i="1"/>
  <c r="D294" i="1"/>
  <c r="D295" i="1"/>
  <c r="D296" i="1"/>
  <c r="D297" i="1"/>
  <c r="D298" i="1"/>
  <c r="D299" i="1"/>
  <c r="D300" i="1"/>
  <c r="D301" i="1"/>
  <c r="D302" i="1"/>
  <c r="D293" i="1"/>
  <c r="F332" i="1"/>
  <c r="C332" i="1"/>
  <c r="F331" i="1"/>
  <c r="C331" i="1"/>
  <c r="F330" i="1"/>
  <c r="C330" i="1"/>
  <c r="F329" i="1"/>
  <c r="C329" i="1"/>
  <c r="F328" i="1"/>
  <c r="C328" i="1"/>
  <c r="F327" i="1"/>
  <c r="C327" i="1"/>
  <c r="F326" i="1"/>
  <c r="C326" i="1"/>
  <c r="F325" i="1"/>
  <c r="C325" i="1"/>
  <c r="F324" i="1"/>
  <c r="C324" i="1"/>
  <c r="F323" i="1"/>
  <c r="C323" i="1"/>
  <c r="F317" i="1"/>
  <c r="C317" i="1"/>
  <c r="F316" i="1"/>
  <c r="C316" i="1"/>
  <c r="F315" i="1"/>
  <c r="C315" i="1"/>
  <c r="F314" i="1"/>
  <c r="C314" i="1"/>
  <c r="F313" i="1"/>
  <c r="C313" i="1"/>
  <c r="F312" i="1"/>
  <c r="C312" i="1"/>
  <c r="F311" i="1"/>
  <c r="C311" i="1"/>
  <c r="F310" i="1"/>
  <c r="C310" i="1"/>
  <c r="F309" i="1"/>
  <c r="C309" i="1"/>
  <c r="F308" i="1"/>
  <c r="C308" i="1"/>
  <c r="F302" i="1"/>
  <c r="C302" i="1"/>
  <c r="F301" i="1"/>
  <c r="C301" i="1"/>
  <c r="F300" i="1"/>
  <c r="C300" i="1"/>
  <c r="F299" i="1"/>
  <c r="C299" i="1"/>
  <c r="F298" i="1"/>
  <c r="C298" i="1"/>
  <c r="F297" i="1"/>
  <c r="C297" i="1"/>
  <c r="F296" i="1"/>
  <c r="C296" i="1"/>
  <c r="F295" i="1"/>
  <c r="C295" i="1"/>
  <c r="F294" i="1"/>
  <c r="C294" i="1"/>
  <c r="F293" i="1"/>
  <c r="C293" i="1"/>
  <c r="F287" i="1"/>
  <c r="C287" i="1"/>
  <c r="F286" i="1"/>
  <c r="C286" i="1"/>
  <c r="F285" i="1"/>
  <c r="C285" i="1"/>
  <c r="F284" i="1"/>
  <c r="C284" i="1"/>
  <c r="F283" i="1"/>
  <c r="C283" i="1"/>
  <c r="F282" i="1"/>
  <c r="C282" i="1"/>
  <c r="F281" i="1"/>
  <c r="C281" i="1"/>
  <c r="F280" i="1"/>
  <c r="C280" i="1"/>
  <c r="F279" i="1"/>
  <c r="C279" i="1"/>
  <c r="F278" i="1"/>
  <c r="C278" i="1"/>
  <c r="F272" i="1"/>
  <c r="C272" i="1"/>
  <c r="F271" i="1"/>
  <c r="C271" i="1"/>
  <c r="F270" i="1"/>
  <c r="C270" i="1"/>
  <c r="F269" i="1"/>
  <c r="C269" i="1"/>
  <c r="F268" i="1"/>
  <c r="C268" i="1"/>
  <c r="F267" i="1"/>
  <c r="C267" i="1"/>
  <c r="F266" i="1"/>
  <c r="C266" i="1"/>
  <c r="F265" i="1"/>
  <c r="C265" i="1"/>
  <c r="F264" i="1"/>
  <c r="C264" i="1"/>
  <c r="F263" i="1"/>
  <c r="C263" i="1"/>
  <c r="F257" i="1"/>
  <c r="C257" i="1"/>
  <c r="F256" i="1"/>
  <c r="C256" i="1"/>
  <c r="F255" i="1"/>
  <c r="C255" i="1"/>
  <c r="F254" i="1"/>
  <c r="C254" i="1"/>
  <c r="F253" i="1"/>
  <c r="C253" i="1"/>
  <c r="F252" i="1"/>
  <c r="C252" i="1"/>
  <c r="F251" i="1"/>
  <c r="C251" i="1"/>
  <c r="F250" i="1"/>
  <c r="C250" i="1"/>
  <c r="F249" i="1"/>
  <c r="C249" i="1"/>
  <c r="F248" i="1"/>
  <c r="C248" i="1"/>
  <c r="D182" i="4"/>
  <c r="D181" i="4"/>
  <c r="D180" i="4"/>
  <c r="D179" i="4"/>
  <c r="D178" i="4"/>
  <c r="D184" i="4" s="1"/>
  <c r="D186" i="4" s="1"/>
  <c r="D171" i="4"/>
  <c r="D170" i="4"/>
  <c r="D169" i="4"/>
  <c r="D168" i="4"/>
  <c r="D167" i="4"/>
  <c r="H236" i="1"/>
  <c r="H239" i="1"/>
  <c r="F242" i="1"/>
  <c r="G242" i="1" s="1"/>
  <c r="H242" i="1" s="1"/>
  <c r="C242" i="1"/>
  <c r="F241" i="1"/>
  <c r="G241" i="1" s="1"/>
  <c r="H241" i="1" s="1"/>
  <c r="C241" i="1"/>
  <c r="F240" i="1"/>
  <c r="G240" i="1" s="1"/>
  <c r="H240" i="1" s="1"/>
  <c r="C240" i="1"/>
  <c r="F239" i="1"/>
  <c r="G239" i="1" s="1"/>
  <c r="C239" i="1"/>
  <c r="F238" i="1"/>
  <c r="G238" i="1" s="1"/>
  <c r="H238" i="1" s="1"/>
  <c r="C238" i="1"/>
  <c r="F237" i="1"/>
  <c r="G237" i="1" s="1"/>
  <c r="H237" i="1" s="1"/>
  <c r="C237" i="1"/>
  <c r="F236" i="1"/>
  <c r="G236" i="1" s="1"/>
  <c r="C236" i="1"/>
  <c r="F235" i="1"/>
  <c r="G235" i="1" s="1"/>
  <c r="H235" i="1" s="1"/>
  <c r="C235" i="1"/>
  <c r="F234" i="1"/>
  <c r="G234" i="1" s="1"/>
  <c r="H234" i="1" s="1"/>
  <c r="C234" i="1"/>
  <c r="F233" i="1"/>
  <c r="G233" i="1" s="1"/>
  <c r="H233" i="1" s="1"/>
  <c r="C233" i="1"/>
  <c r="D160" i="4"/>
  <c r="D159" i="4"/>
  <c r="D158" i="4"/>
  <c r="D157" i="4"/>
  <c r="D156" i="4"/>
  <c r="D162" i="4" s="1"/>
  <c r="D164" i="4" s="1"/>
  <c r="H221" i="1"/>
  <c r="H222" i="1"/>
  <c r="H224" i="1"/>
  <c r="H226" i="1"/>
  <c r="F227" i="1"/>
  <c r="G227" i="1" s="1"/>
  <c r="H227" i="1" s="1"/>
  <c r="C227" i="1"/>
  <c r="F226" i="1"/>
  <c r="G226" i="1" s="1"/>
  <c r="C226" i="1"/>
  <c r="F225" i="1"/>
  <c r="G225" i="1" s="1"/>
  <c r="H225" i="1" s="1"/>
  <c r="C225" i="1"/>
  <c r="F224" i="1"/>
  <c r="G224" i="1" s="1"/>
  <c r="C224" i="1"/>
  <c r="F223" i="1"/>
  <c r="G223" i="1" s="1"/>
  <c r="H223" i="1" s="1"/>
  <c r="C223" i="1"/>
  <c r="F222" i="1"/>
  <c r="G222" i="1" s="1"/>
  <c r="C222" i="1"/>
  <c r="F221" i="1"/>
  <c r="G221" i="1" s="1"/>
  <c r="C221" i="1"/>
  <c r="F220" i="1"/>
  <c r="G220" i="1" s="1"/>
  <c r="H220" i="1" s="1"/>
  <c r="C220" i="1"/>
  <c r="F219" i="1"/>
  <c r="G219" i="1" s="1"/>
  <c r="H219" i="1" s="1"/>
  <c r="C219" i="1"/>
  <c r="F218" i="1"/>
  <c r="G218" i="1" s="1"/>
  <c r="H218" i="1" s="1"/>
  <c r="C218" i="1"/>
  <c r="H204" i="1"/>
  <c r="H205" i="1"/>
  <c r="H206" i="1"/>
  <c r="H207" i="1"/>
  <c r="H208" i="1"/>
  <c r="H209" i="1"/>
  <c r="H210" i="1"/>
  <c r="H211" i="1"/>
  <c r="H212" i="1"/>
  <c r="H203" i="1"/>
  <c r="H199" i="1"/>
  <c r="F212" i="1"/>
  <c r="G212" i="1" s="1"/>
  <c r="C212" i="1"/>
  <c r="F211" i="1"/>
  <c r="G211" i="1" s="1"/>
  <c r="C211" i="1"/>
  <c r="G210" i="1"/>
  <c r="F210" i="1"/>
  <c r="C210" i="1"/>
  <c r="F209" i="1"/>
  <c r="G209" i="1" s="1"/>
  <c r="C209" i="1"/>
  <c r="F208" i="1"/>
  <c r="G208" i="1" s="1"/>
  <c r="C208" i="1"/>
  <c r="F207" i="1"/>
  <c r="G207" i="1" s="1"/>
  <c r="C207" i="1"/>
  <c r="F206" i="1"/>
  <c r="G206" i="1" s="1"/>
  <c r="C206" i="1"/>
  <c r="F205" i="1"/>
  <c r="G205" i="1" s="1"/>
  <c r="C205" i="1"/>
  <c r="F204" i="1"/>
  <c r="G204" i="1" s="1"/>
  <c r="C204" i="1"/>
  <c r="F203" i="1"/>
  <c r="G203" i="1" s="1"/>
  <c r="C203" i="1"/>
  <c r="D149" i="4"/>
  <c r="D148" i="4"/>
  <c r="D147" i="4"/>
  <c r="D146" i="4"/>
  <c r="D145" i="4"/>
  <c r="D138" i="4"/>
  <c r="D137" i="4"/>
  <c r="D136" i="4"/>
  <c r="D135" i="4"/>
  <c r="D134" i="4"/>
  <c r="H194" i="1"/>
  <c r="G189" i="1"/>
  <c r="H189" i="1" s="1"/>
  <c r="G190" i="1"/>
  <c r="H190" i="1" s="1"/>
  <c r="G191" i="1"/>
  <c r="H191" i="1" s="1"/>
  <c r="G192" i="1"/>
  <c r="H192" i="1" s="1"/>
  <c r="G193" i="1"/>
  <c r="H193" i="1" s="1"/>
  <c r="G194" i="1"/>
  <c r="G188" i="1"/>
  <c r="H188" i="1" s="1"/>
  <c r="F189" i="1"/>
  <c r="F190" i="1"/>
  <c r="F191" i="1"/>
  <c r="F192" i="1"/>
  <c r="F193" i="1"/>
  <c r="F194" i="1"/>
  <c r="F195" i="1"/>
  <c r="G195" i="1" s="1"/>
  <c r="H195" i="1" s="1"/>
  <c r="F196" i="1"/>
  <c r="G196" i="1" s="1"/>
  <c r="H196" i="1" s="1"/>
  <c r="F197" i="1"/>
  <c r="G197" i="1" s="1"/>
  <c r="H197" i="1" s="1"/>
  <c r="F188" i="1"/>
  <c r="C197" i="1"/>
  <c r="C196" i="1"/>
  <c r="C195" i="1"/>
  <c r="C194" i="1"/>
  <c r="C193" i="1"/>
  <c r="C192" i="1"/>
  <c r="C191" i="1"/>
  <c r="C190" i="1"/>
  <c r="C189" i="1"/>
  <c r="C188" i="1"/>
  <c r="D131" i="4"/>
  <c r="D129" i="4"/>
  <c r="D124" i="4"/>
  <c r="D125" i="4"/>
  <c r="D126" i="4"/>
  <c r="D127" i="4"/>
  <c r="D123" i="4"/>
  <c r="H180" i="1"/>
  <c r="H173" i="1"/>
  <c r="G174" i="1"/>
  <c r="H174" i="1" s="1"/>
  <c r="G178" i="1"/>
  <c r="H178" i="1" s="1"/>
  <c r="G180" i="1"/>
  <c r="G173" i="1"/>
  <c r="F174" i="1"/>
  <c r="F175" i="1"/>
  <c r="G175" i="1" s="1"/>
  <c r="H175" i="1" s="1"/>
  <c r="F176" i="1"/>
  <c r="G176" i="1" s="1"/>
  <c r="H176" i="1" s="1"/>
  <c r="F177" i="1"/>
  <c r="G177" i="1" s="1"/>
  <c r="H177" i="1" s="1"/>
  <c r="F178" i="1"/>
  <c r="F179" i="1"/>
  <c r="G179" i="1" s="1"/>
  <c r="H179" i="1" s="1"/>
  <c r="F180" i="1"/>
  <c r="F181" i="1"/>
  <c r="G181" i="1" s="1"/>
  <c r="H181" i="1" s="1"/>
  <c r="F182" i="1"/>
  <c r="G182" i="1" s="1"/>
  <c r="H182" i="1" s="1"/>
  <c r="F173" i="1"/>
  <c r="C182" i="1"/>
  <c r="C181" i="1"/>
  <c r="C180" i="1"/>
  <c r="C179" i="1"/>
  <c r="C178" i="1"/>
  <c r="C177" i="1"/>
  <c r="C176" i="1"/>
  <c r="C175" i="1"/>
  <c r="C174" i="1"/>
  <c r="C173" i="1"/>
  <c r="D116" i="4"/>
  <c r="D115" i="4"/>
  <c r="D114" i="4"/>
  <c r="D113" i="4"/>
  <c r="D112" i="4"/>
  <c r="D105" i="4"/>
  <c r="D107" i="4" s="1"/>
  <c r="D109" i="4" s="1"/>
  <c r="D104" i="4"/>
  <c r="D103" i="4"/>
  <c r="D102" i="4"/>
  <c r="D101" i="4"/>
  <c r="D94" i="4"/>
  <c r="D93" i="4"/>
  <c r="D92" i="4"/>
  <c r="D91" i="4"/>
  <c r="D90" i="4"/>
  <c r="D83" i="4"/>
  <c r="D82" i="4"/>
  <c r="D81" i="4"/>
  <c r="D80" i="4"/>
  <c r="D79" i="4"/>
  <c r="D72" i="4"/>
  <c r="D71" i="4"/>
  <c r="D70" i="4"/>
  <c r="D69" i="4"/>
  <c r="D68" i="4"/>
  <c r="D74" i="4" s="1"/>
  <c r="D76" i="4" s="1"/>
  <c r="D63" i="4"/>
  <c r="D65" i="4" s="1"/>
  <c r="D61" i="4"/>
  <c r="D60" i="4"/>
  <c r="D59" i="4"/>
  <c r="D58" i="4"/>
  <c r="D57" i="4"/>
  <c r="D52" i="4"/>
  <c r="D54" i="4" s="1"/>
  <c r="D50" i="4"/>
  <c r="D49" i="4"/>
  <c r="D48" i="4"/>
  <c r="D47" i="4"/>
  <c r="D46" i="4"/>
  <c r="D41" i="4"/>
  <c r="D36" i="4"/>
  <c r="D43" i="4" s="1"/>
  <c r="D37" i="4"/>
  <c r="D38" i="4"/>
  <c r="D39" i="4"/>
  <c r="D35" i="4"/>
  <c r="D32" i="4"/>
  <c r="D30" i="4"/>
  <c r="D25" i="4"/>
  <c r="D26" i="4"/>
  <c r="D27" i="4"/>
  <c r="D28" i="4"/>
  <c r="D24" i="4"/>
  <c r="D21" i="4"/>
  <c r="D19" i="4"/>
  <c r="D14" i="4"/>
  <c r="D15" i="4"/>
  <c r="D16" i="4"/>
  <c r="D17" i="4"/>
  <c r="D13" i="4"/>
  <c r="C3" i="4"/>
  <c r="C4" i="4"/>
  <c r="C5" i="4"/>
  <c r="C6" i="4"/>
  <c r="C2" i="4"/>
  <c r="D10" i="4"/>
  <c r="H169" i="1"/>
  <c r="D143" i="1"/>
  <c r="D144" i="1"/>
  <c r="D145" i="1"/>
  <c r="D146" i="1"/>
  <c r="D147" i="1"/>
  <c r="D148" i="1"/>
  <c r="D149" i="1"/>
  <c r="D150" i="1"/>
  <c r="D151" i="1"/>
  <c r="D142" i="1"/>
  <c r="G157" i="1" s="1"/>
  <c r="D158" i="1"/>
  <c r="D159" i="1"/>
  <c r="D160" i="1"/>
  <c r="D161" i="1"/>
  <c r="D162" i="1"/>
  <c r="D163" i="1"/>
  <c r="D164" i="1"/>
  <c r="D165" i="1"/>
  <c r="D166" i="1"/>
  <c r="D157" i="1"/>
  <c r="H143" i="1"/>
  <c r="H144" i="1"/>
  <c r="H145" i="1"/>
  <c r="H146" i="1"/>
  <c r="H147" i="1"/>
  <c r="H148" i="1"/>
  <c r="H149" i="1"/>
  <c r="H150" i="1"/>
  <c r="H151" i="1"/>
  <c r="H142" i="1"/>
  <c r="G158" i="1"/>
  <c r="G160" i="1"/>
  <c r="G162" i="1"/>
  <c r="G163" i="1"/>
  <c r="G165" i="1"/>
  <c r="G166" i="1"/>
  <c r="F158" i="1"/>
  <c r="F159" i="1"/>
  <c r="G159" i="1" s="1"/>
  <c r="F160" i="1"/>
  <c r="F161" i="1"/>
  <c r="G161" i="1" s="1"/>
  <c r="F162" i="1"/>
  <c r="F163" i="1"/>
  <c r="F164" i="1"/>
  <c r="G164" i="1" s="1"/>
  <c r="F165" i="1"/>
  <c r="F166" i="1"/>
  <c r="F157" i="1"/>
  <c r="C166" i="1"/>
  <c r="C165" i="1"/>
  <c r="C164" i="1"/>
  <c r="C163" i="1"/>
  <c r="C162" i="1"/>
  <c r="C161" i="1"/>
  <c r="C160" i="1"/>
  <c r="C159" i="1"/>
  <c r="C158" i="1"/>
  <c r="C157" i="1"/>
  <c r="F151" i="1"/>
  <c r="C151" i="1"/>
  <c r="F150" i="1"/>
  <c r="C150" i="1"/>
  <c r="F149" i="1"/>
  <c r="C149" i="1"/>
  <c r="F148" i="1"/>
  <c r="C148" i="1"/>
  <c r="F147" i="1"/>
  <c r="C147" i="1"/>
  <c r="F146" i="1"/>
  <c r="C146" i="1"/>
  <c r="F145" i="1"/>
  <c r="C145" i="1"/>
  <c r="F144" i="1"/>
  <c r="C144" i="1"/>
  <c r="F143" i="1"/>
  <c r="C143" i="1"/>
  <c r="F142" i="1"/>
  <c r="C142" i="1"/>
  <c r="F135" i="1"/>
  <c r="C135" i="1"/>
  <c r="F134" i="1"/>
  <c r="C134" i="1"/>
  <c r="F133" i="1"/>
  <c r="C133" i="1"/>
  <c r="F132" i="1"/>
  <c r="C132" i="1"/>
  <c r="F131" i="1"/>
  <c r="C131" i="1"/>
  <c r="F130" i="1"/>
  <c r="C130" i="1"/>
  <c r="F129" i="1"/>
  <c r="C129" i="1"/>
  <c r="F128" i="1"/>
  <c r="C128" i="1"/>
  <c r="F127" i="1"/>
  <c r="C127" i="1"/>
  <c r="F126" i="1"/>
  <c r="C126" i="1"/>
  <c r="F111" i="1"/>
  <c r="F112" i="1"/>
  <c r="F113" i="1"/>
  <c r="F114" i="1"/>
  <c r="F115" i="1"/>
  <c r="F116" i="1"/>
  <c r="F117" i="1"/>
  <c r="F118" i="1"/>
  <c r="F119" i="1"/>
  <c r="F110" i="1"/>
  <c r="C121" i="1"/>
  <c r="D116" i="1" s="1"/>
  <c r="C119" i="1"/>
  <c r="D119" i="1" s="1"/>
  <c r="C118" i="1"/>
  <c r="C117" i="1"/>
  <c r="C116" i="1"/>
  <c r="C115" i="1"/>
  <c r="C114" i="1"/>
  <c r="D114" i="1" s="1"/>
  <c r="C113" i="1"/>
  <c r="D113" i="1" s="1"/>
  <c r="C112" i="1"/>
  <c r="D112" i="1" s="1"/>
  <c r="C111" i="1"/>
  <c r="D111" i="1" s="1"/>
  <c r="C110" i="1"/>
  <c r="D110" i="1" s="1"/>
  <c r="F95" i="1"/>
  <c r="F96" i="1"/>
  <c r="F97" i="1"/>
  <c r="F98" i="1"/>
  <c r="F99" i="1"/>
  <c r="F100" i="1"/>
  <c r="F101" i="1"/>
  <c r="F102" i="1"/>
  <c r="F103" i="1"/>
  <c r="F94" i="1"/>
  <c r="C105" i="1"/>
  <c r="C103" i="1"/>
  <c r="C102" i="1"/>
  <c r="C101" i="1"/>
  <c r="C100" i="1"/>
  <c r="C99" i="1"/>
  <c r="C98" i="1"/>
  <c r="C97" i="1"/>
  <c r="C96" i="1"/>
  <c r="C95" i="1"/>
  <c r="C94" i="1"/>
  <c r="F79" i="1"/>
  <c r="F80" i="1"/>
  <c r="F81" i="1"/>
  <c r="F82" i="1"/>
  <c r="F83" i="1"/>
  <c r="F84" i="1"/>
  <c r="F85" i="1"/>
  <c r="F86" i="1"/>
  <c r="F87" i="1"/>
  <c r="F78" i="1"/>
  <c r="C89" i="1"/>
  <c r="D83" i="1" s="1"/>
  <c r="G99" i="1" s="1"/>
  <c r="C87" i="1"/>
  <c r="D87" i="1" s="1"/>
  <c r="G103" i="1" s="1"/>
  <c r="C86" i="1"/>
  <c r="C85" i="1"/>
  <c r="C84" i="1"/>
  <c r="C83" i="1"/>
  <c r="C82" i="1"/>
  <c r="D82" i="1" s="1"/>
  <c r="G98" i="1" s="1"/>
  <c r="C81" i="1"/>
  <c r="D81" i="1" s="1"/>
  <c r="G97" i="1" s="1"/>
  <c r="C80" i="1"/>
  <c r="D80" i="1" s="1"/>
  <c r="G96" i="1" s="1"/>
  <c r="C79" i="1"/>
  <c r="D79" i="1" s="1"/>
  <c r="G95" i="1" s="1"/>
  <c r="C78" i="1"/>
  <c r="D78" i="1" s="1"/>
  <c r="G94" i="1" s="1"/>
  <c r="F64" i="1"/>
  <c r="F65" i="1"/>
  <c r="F66" i="1"/>
  <c r="F67" i="1"/>
  <c r="F68" i="1"/>
  <c r="F69" i="1"/>
  <c r="F70" i="1"/>
  <c r="F71" i="1"/>
  <c r="F72" i="1"/>
  <c r="F63" i="1"/>
  <c r="C72" i="1"/>
  <c r="C71" i="1"/>
  <c r="C70" i="1"/>
  <c r="D70" i="1" s="1"/>
  <c r="G85" i="1" s="1"/>
  <c r="C69" i="1"/>
  <c r="D69" i="1" s="1"/>
  <c r="G84" i="1" s="1"/>
  <c r="C68" i="1"/>
  <c r="D68" i="1" s="1"/>
  <c r="G83" i="1" s="1"/>
  <c r="C67" i="1"/>
  <c r="D67" i="1" s="1"/>
  <c r="G82" i="1" s="1"/>
  <c r="C66" i="1"/>
  <c r="C65" i="1"/>
  <c r="C64" i="1"/>
  <c r="C74" i="1" s="1"/>
  <c r="C63" i="1"/>
  <c r="D63" i="1" s="1"/>
  <c r="G78" i="1" s="1"/>
  <c r="F56" i="1"/>
  <c r="F55" i="1"/>
  <c r="F54" i="1"/>
  <c r="F53" i="1"/>
  <c r="F52" i="1"/>
  <c r="F51" i="1"/>
  <c r="F50" i="1"/>
  <c r="F49" i="1"/>
  <c r="F48" i="1"/>
  <c r="F47" i="1"/>
  <c r="C56" i="1"/>
  <c r="C55" i="1"/>
  <c r="C54" i="1"/>
  <c r="C53" i="1"/>
  <c r="C52" i="1"/>
  <c r="C51" i="1"/>
  <c r="C50" i="1"/>
  <c r="C49" i="1"/>
  <c r="C48" i="1"/>
  <c r="C47" i="1"/>
  <c r="F33" i="1"/>
  <c r="F34" i="1"/>
  <c r="F35" i="1"/>
  <c r="F36" i="1"/>
  <c r="F37" i="1"/>
  <c r="F38" i="1"/>
  <c r="F39" i="1"/>
  <c r="F40" i="1"/>
  <c r="F41" i="1"/>
  <c r="F32" i="1"/>
  <c r="C43" i="1"/>
  <c r="D34" i="1" s="1"/>
  <c r="C33" i="1"/>
  <c r="D33" i="1" s="1"/>
  <c r="G48" i="1" s="1"/>
  <c r="C34" i="1"/>
  <c r="C35" i="1"/>
  <c r="C36" i="1"/>
  <c r="C37" i="1"/>
  <c r="C38" i="1"/>
  <c r="C39" i="1"/>
  <c r="D39" i="1" s="1"/>
  <c r="C40" i="1"/>
  <c r="C41" i="1"/>
  <c r="D41" i="1" s="1"/>
  <c r="C32" i="1"/>
  <c r="D32" i="1" s="1"/>
  <c r="B13" i="2"/>
  <c r="F18" i="1"/>
  <c r="F19" i="1"/>
  <c r="F20" i="1"/>
  <c r="F21" i="1"/>
  <c r="F22" i="1"/>
  <c r="F23" i="1"/>
  <c r="F24" i="1"/>
  <c r="F25" i="1"/>
  <c r="F26" i="1"/>
  <c r="F17" i="1"/>
  <c r="C28" i="1"/>
  <c r="D22" i="1" s="1"/>
  <c r="G37" i="1" s="1"/>
  <c r="C18" i="1"/>
  <c r="C19" i="1"/>
  <c r="D19" i="1" s="1"/>
  <c r="G34" i="1" s="1"/>
  <c r="C20" i="1"/>
  <c r="C21" i="1"/>
  <c r="D21" i="1" s="1"/>
  <c r="G36" i="1" s="1"/>
  <c r="C22" i="1"/>
  <c r="C23" i="1"/>
  <c r="C24" i="1"/>
  <c r="D24" i="1" s="1"/>
  <c r="G39" i="1" s="1"/>
  <c r="C25" i="1"/>
  <c r="D25" i="1" s="1"/>
  <c r="G40" i="1" s="1"/>
  <c r="C26" i="1"/>
  <c r="C17" i="1"/>
  <c r="E2" i="1"/>
  <c r="E3" i="1"/>
  <c r="E4" i="1"/>
  <c r="E5" i="1"/>
  <c r="E6" i="1"/>
  <c r="E7" i="1"/>
  <c r="E8" i="1"/>
  <c r="E9" i="1"/>
  <c r="E10" i="1"/>
  <c r="E11" i="1"/>
  <c r="D10" i="1"/>
  <c r="G25" i="1" s="1"/>
  <c r="H25" i="1" s="1"/>
  <c r="C13" i="1"/>
  <c r="D11" i="1" s="1"/>
  <c r="G26" i="1" s="1"/>
  <c r="H26" i="1" s="1"/>
  <c r="D272" i="4" l="1"/>
  <c r="D274" i="4" s="1"/>
  <c r="G369" i="1"/>
  <c r="G370" i="1"/>
  <c r="G373" i="1"/>
  <c r="G374" i="1"/>
  <c r="G375" i="1"/>
  <c r="C379" i="1"/>
  <c r="G376" i="1"/>
  <c r="C364" i="1"/>
  <c r="G377" i="1"/>
  <c r="H364" i="1"/>
  <c r="H365" i="1" s="1"/>
  <c r="G368" i="1"/>
  <c r="H379" i="1" s="1"/>
  <c r="D261" i="4"/>
  <c r="D263" i="4" s="1"/>
  <c r="D250" i="4"/>
  <c r="D252" i="4" s="1"/>
  <c r="D239" i="4"/>
  <c r="D241" i="4" s="1"/>
  <c r="C334" i="1"/>
  <c r="C349" i="1"/>
  <c r="G339" i="1"/>
  <c r="D228" i="4"/>
  <c r="D230" i="4" s="1"/>
  <c r="D206" i="4"/>
  <c r="D208" i="4" s="1"/>
  <c r="C304" i="1"/>
  <c r="C274" i="1"/>
  <c r="D263" i="1" s="1"/>
  <c r="G278" i="1" s="1"/>
  <c r="C259" i="1"/>
  <c r="D266" i="1" s="1"/>
  <c r="G281" i="1" s="1"/>
  <c r="C289" i="1"/>
  <c r="C319" i="1"/>
  <c r="D173" i="4"/>
  <c r="D175" i="4" s="1"/>
  <c r="C244" i="1"/>
  <c r="H244" i="1"/>
  <c r="H245" i="1" s="1"/>
  <c r="C229" i="1"/>
  <c r="D227" i="1" s="1"/>
  <c r="H229" i="1"/>
  <c r="H230" i="1" s="1"/>
  <c r="D151" i="4"/>
  <c r="D153" i="4" s="1"/>
  <c r="C214" i="1"/>
  <c r="D212" i="1" s="1"/>
  <c r="H214" i="1"/>
  <c r="D140" i="4"/>
  <c r="D142" i="4" s="1"/>
  <c r="C199" i="1"/>
  <c r="H200" i="1"/>
  <c r="C184" i="1"/>
  <c r="H184" i="1"/>
  <c r="H185" i="1" s="1"/>
  <c r="D118" i="4"/>
  <c r="D120" i="4" s="1"/>
  <c r="D96" i="4"/>
  <c r="D98" i="4" s="1"/>
  <c r="D85" i="4"/>
  <c r="D87" i="4" s="1"/>
  <c r="C168" i="1"/>
  <c r="C153" i="1"/>
  <c r="D66" i="1"/>
  <c r="G81" i="1" s="1"/>
  <c r="D71" i="1"/>
  <c r="G86" i="1" s="1"/>
  <c r="D65" i="1"/>
  <c r="G80" i="1" s="1"/>
  <c r="D72" i="1"/>
  <c r="G87" i="1" s="1"/>
  <c r="D9" i="1"/>
  <c r="G24" i="1" s="1"/>
  <c r="H24" i="1" s="1"/>
  <c r="G55" i="1"/>
  <c r="D64" i="1"/>
  <c r="G79" i="1" s="1"/>
  <c r="D100" i="1"/>
  <c r="G116" i="1" s="1"/>
  <c r="G129" i="1"/>
  <c r="G135" i="1"/>
  <c r="G47" i="1"/>
  <c r="G56" i="1"/>
  <c r="D101" i="1"/>
  <c r="G117" i="1" s="1"/>
  <c r="D99" i="1"/>
  <c r="G115" i="1" s="1"/>
  <c r="D8" i="1"/>
  <c r="G23" i="1" s="1"/>
  <c r="H23" i="1" s="1"/>
  <c r="D18" i="1"/>
  <c r="G33" i="1" s="1"/>
  <c r="D38" i="1"/>
  <c r="D7" i="1"/>
  <c r="G22" i="1" s="1"/>
  <c r="H22" i="1" s="1"/>
  <c r="D37" i="1"/>
  <c r="G52" i="1" s="1"/>
  <c r="D102" i="1"/>
  <c r="G118" i="1" s="1"/>
  <c r="D40" i="1"/>
  <c r="D86" i="1"/>
  <c r="G102" i="1" s="1"/>
  <c r="D118" i="1"/>
  <c r="G130" i="1"/>
  <c r="D6" i="1"/>
  <c r="G21" i="1" s="1"/>
  <c r="H21" i="1" s="1"/>
  <c r="D36" i="1"/>
  <c r="D103" i="1"/>
  <c r="G119" i="1" s="1"/>
  <c r="D17" i="1"/>
  <c r="G32" i="1" s="1"/>
  <c r="D35" i="1"/>
  <c r="G50" i="1" s="1"/>
  <c r="D85" i="1"/>
  <c r="G101" i="1" s="1"/>
  <c r="D117" i="1"/>
  <c r="D5" i="1"/>
  <c r="G20" i="1" s="1"/>
  <c r="H20" i="1" s="1"/>
  <c r="G49" i="1"/>
  <c r="D84" i="1"/>
  <c r="G100" i="1" s="1"/>
  <c r="D20" i="1"/>
  <c r="G35" i="1" s="1"/>
  <c r="G54" i="1"/>
  <c r="D4" i="1"/>
  <c r="G19" i="1" s="1"/>
  <c r="H19" i="1" s="1"/>
  <c r="D115" i="1"/>
  <c r="G131" i="1" s="1"/>
  <c r="D3" i="1"/>
  <c r="G18" i="1" s="1"/>
  <c r="H18" i="1" s="1"/>
  <c r="D94" i="1"/>
  <c r="G110" i="1" s="1"/>
  <c r="G126" i="1"/>
  <c r="G132" i="1"/>
  <c r="D26" i="1"/>
  <c r="G41" i="1" s="1"/>
  <c r="G51" i="1"/>
  <c r="D95" i="1"/>
  <c r="G111" i="1" s="1"/>
  <c r="D96" i="1"/>
  <c r="G112" i="1" s="1"/>
  <c r="G127" i="1"/>
  <c r="G133" i="1"/>
  <c r="D97" i="1"/>
  <c r="G113" i="1" s="1"/>
  <c r="D23" i="1"/>
  <c r="G38" i="1" s="1"/>
  <c r="D2" i="1"/>
  <c r="G17" i="1" s="1"/>
  <c r="H17" i="1" s="1"/>
  <c r="H28" i="1" s="1"/>
  <c r="H29" i="1" s="1"/>
  <c r="G53" i="1"/>
  <c r="D98" i="1"/>
  <c r="G114" i="1" s="1"/>
  <c r="G128" i="1"/>
  <c r="G134" i="1"/>
  <c r="C137" i="1"/>
  <c r="C58" i="1"/>
  <c r="D52" i="1" s="1"/>
  <c r="G68" i="1" s="1"/>
  <c r="H380" i="1" l="1"/>
  <c r="D267" i="1"/>
  <c r="G282" i="1" s="1"/>
  <c r="D250" i="1"/>
  <c r="G265" i="1" s="1"/>
  <c r="D270" i="1"/>
  <c r="G285" i="1" s="1"/>
  <c r="D253" i="1"/>
  <c r="G268" i="1" s="1"/>
  <c r="D249" i="1"/>
  <c r="G264" i="1" s="1"/>
  <c r="D251" i="1"/>
  <c r="G266" i="1" s="1"/>
  <c r="D252" i="1"/>
  <c r="G267" i="1" s="1"/>
  <c r="D254" i="1"/>
  <c r="G269" i="1" s="1"/>
  <c r="D255" i="1"/>
  <c r="G270" i="1" s="1"/>
  <c r="D269" i="1"/>
  <c r="G284" i="1" s="1"/>
  <c r="D248" i="1"/>
  <c r="G263" i="1" s="1"/>
  <c r="D272" i="1"/>
  <c r="G287" i="1" s="1"/>
  <c r="D257" i="1"/>
  <c r="G272" i="1" s="1"/>
  <c r="D268" i="1"/>
  <c r="G283" i="1" s="1"/>
  <c r="D265" i="1"/>
  <c r="G280" i="1" s="1"/>
  <c r="D264" i="1"/>
  <c r="G279" i="1" s="1"/>
  <c r="D271" i="1"/>
  <c r="G286" i="1" s="1"/>
  <c r="D256" i="1"/>
  <c r="G271" i="1" s="1"/>
  <c r="D284" i="1"/>
  <c r="G299" i="1" s="1"/>
  <c r="D308" i="1"/>
  <c r="G323" i="1" s="1"/>
  <c r="D285" i="1"/>
  <c r="G300" i="1" s="1"/>
  <c r="D287" i="1"/>
  <c r="G302" i="1" s="1"/>
  <c r="D278" i="1"/>
  <c r="G293" i="1" s="1"/>
  <c r="D280" i="1"/>
  <c r="G295" i="1" s="1"/>
  <c r="G313" i="1"/>
  <c r="D281" i="1"/>
  <c r="G296" i="1" s="1"/>
  <c r="D282" i="1"/>
  <c r="G297" i="1" s="1"/>
  <c r="D279" i="1"/>
  <c r="G294" i="1" s="1"/>
  <c r="D283" i="1"/>
  <c r="G298" i="1" s="1"/>
  <c r="G316" i="1"/>
  <c r="G340" i="1"/>
  <c r="D314" i="1"/>
  <c r="G329" i="1" s="1"/>
  <c r="G308" i="1"/>
  <c r="D310" i="1"/>
  <c r="G325" i="1" s="1"/>
  <c r="D309" i="1"/>
  <c r="G324" i="1" s="1"/>
  <c r="D312" i="1"/>
  <c r="G327" i="1" s="1"/>
  <c r="G311" i="1"/>
  <c r="G342" i="1"/>
  <c r="D311" i="1"/>
  <c r="G326" i="1" s="1"/>
  <c r="G317" i="1"/>
  <c r="G343" i="1"/>
  <c r="G347" i="1"/>
  <c r="G310" i="1"/>
  <c r="G346" i="1"/>
  <c r="G309" i="1"/>
  <c r="G312" i="1"/>
  <c r="G344" i="1"/>
  <c r="G341" i="1"/>
  <c r="G345" i="1"/>
  <c r="D315" i="1"/>
  <c r="G330" i="1" s="1"/>
  <c r="D317" i="1"/>
  <c r="G332" i="1" s="1"/>
  <c r="D316" i="1"/>
  <c r="G331" i="1" s="1"/>
  <c r="G314" i="1"/>
  <c r="D313" i="1"/>
  <c r="G328" i="1" s="1"/>
  <c r="G315" i="1"/>
  <c r="D286" i="1"/>
  <c r="G301" i="1" s="1"/>
  <c r="D241" i="1"/>
  <c r="G256" i="1" s="1"/>
  <c r="H256" i="1" s="1"/>
  <c r="D233" i="1"/>
  <c r="G248" i="1" s="1"/>
  <c r="H248" i="1" s="1"/>
  <c r="D238" i="1"/>
  <c r="G253" i="1" s="1"/>
  <c r="H253" i="1" s="1"/>
  <c r="D236" i="1"/>
  <c r="G251" i="1" s="1"/>
  <c r="H251" i="1" s="1"/>
  <c r="D234" i="1"/>
  <c r="G249" i="1" s="1"/>
  <c r="H249" i="1" s="1"/>
  <c r="D235" i="1"/>
  <c r="G250" i="1" s="1"/>
  <c r="H250" i="1" s="1"/>
  <c r="D239" i="1"/>
  <c r="G254" i="1" s="1"/>
  <c r="H254" i="1" s="1"/>
  <c r="D237" i="1"/>
  <c r="G252" i="1" s="1"/>
  <c r="H252" i="1" s="1"/>
  <c r="D240" i="1"/>
  <c r="G255" i="1" s="1"/>
  <c r="H255" i="1" s="1"/>
  <c r="D242" i="1"/>
  <c r="G257" i="1" s="1"/>
  <c r="H257" i="1" s="1"/>
  <c r="D223" i="1"/>
  <c r="D218" i="1"/>
  <c r="D221" i="1"/>
  <c r="D219" i="1"/>
  <c r="D220" i="1"/>
  <c r="D222" i="1"/>
  <c r="D224" i="1"/>
  <c r="D225" i="1"/>
  <c r="D226" i="1"/>
  <c r="D206" i="1"/>
  <c r="D207" i="1"/>
  <c r="D208" i="1"/>
  <c r="D209" i="1"/>
  <c r="D204" i="1"/>
  <c r="D211" i="1"/>
  <c r="D203" i="1"/>
  <c r="D205" i="1"/>
  <c r="D210" i="1"/>
  <c r="H215" i="1"/>
  <c r="D189" i="1"/>
  <c r="D191" i="1"/>
  <c r="D192" i="1"/>
  <c r="D193" i="1"/>
  <c r="D197" i="1"/>
  <c r="D190" i="1"/>
  <c r="D194" i="1"/>
  <c r="D195" i="1"/>
  <c r="D196" i="1"/>
  <c r="D188" i="1"/>
  <c r="D174" i="1"/>
  <c r="D175" i="1"/>
  <c r="D176" i="1"/>
  <c r="D177" i="1"/>
  <c r="D178" i="1"/>
  <c r="D179" i="1"/>
  <c r="D180" i="1"/>
  <c r="D181" i="1"/>
  <c r="D173" i="1"/>
  <c r="D182" i="1"/>
  <c r="H39" i="1"/>
  <c r="H34" i="1"/>
  <c r="H36" i="1"/>
  <c r="H37" i="1"/>
  <c r="H40" i="1"/>
  <c r="H35" i="1"/>
  <c r="H33" i="1"/>
  <c r="H38" i="1"/>
  <c r="H32" i="1"/>
  <c r="H43" i="1" s="1"/>
  <c r="H44" i="1" s="1"/>
  <c r="D135" i="1"/>
  <c r="G151" i="1" s="1"/>
  <c r="H41" i="1"/>
  <c r="D53" i="1"/>
  <c r="G69" i="1" s="1"/>
  <c r="D49" i="1"/>
  <c r="G65" i="1" s="1"/>
  <c r="D50" i="1"/>
  <c r="G66" i="1" s="1"/>
  <c r="D51" i="1"/>
  <c r="G67" i="1" s="1"/>
  <c r="D48" i="1"/>
  <c r="G64" i="1" s="1"/>
  <c r="D56" i="1"/>
  <c r="G72" i="1" s="1"/>
  <c r="D47" i="1"/>
  <c r="G63" i="1" s="1"/>
  <c r="D54" i="1"/>
  <c r="G70" i="1" s="1"/>
  <c r="D55" i="1"/>
  <c r="G71" i="1" s="1"/>
  <c r="D126" i="1"/>
  <c r="G142" i="1" s="1"/>
  <c r="D133" i="1"/>
  <c r="G149" i="1" s="1"/>
  <c r="D128" i="1"/>
  <c r="G144" i="1" s="1"/>
  <c r="D132" i="1"/>
  <c r="G148" i="1" s="1"/>
  <c r="D127" i="1"/>
  <c r="G143" i="1" s="1"/>
  <c r="D129" i="1"/>
  <c r="G145" i="1" s="1"/>
  <c r="D130" i="1"/>
  <c r="G146" i="1" s="1"/>
  <c r="D131" i="1"/>
  <c r="G147" i="1" s="1"/>
  <c r="D134" i="1"/>
  <c r="G150" i="1" s="1"/>
  <c r="H349" i="1" l="1"/>
  <c r="H259" i="1"/>
  <c r="H260" i="1" s="1"/>
  <c r="H270" i="1" s="1"/>
  <c r="H48" i="1"/>
  <c r="H51" i="1"/>
  <c r="H53" i="1"/>
  <c r="H54" i="1"/>
  <c r="H49" i="1"/>
  <c r="H55" i="1"/>
  <c r="H52" i="1"/>
  <c r="H56" i="1"/>
  <c r="H50" i="1"/>
  <c r="H47" i="1"/>
  <c r="H263" i="1" l="1"/>
  <c r="H272" i="1"/>
  <c r="H265" i="1"/>
  <c r="H268" i="1"/>
  <c r="H264" i="1"/>
  <c r="H266" i="1"/>
  <c r="H271" i="1"/>
  <c r="H267" i="1"/>
  <c r="H269" i="1"/>
  <c r="H58" i="1"/>
  <c r="H59" i="1" s="1"/>
  <c r="H274" i="1" l="1"/>
  <c r="H275" i="1" s="1"/>
  <c r="H68" i="1"/>
  <c r="H63" i="1"/>
  <c r="H64" i="1"/>
  <c r="H67" i="1"/>
  <c r="H69" i="1"/>
  <c r="H71" i="1"/>
  <c r="H72" i="1"/>
  <c r="H66" i="1"/>
  <c r="H65" i="1"/>
  <c r="H70" i="1"/>
  <c r="H283" i="1" l="1"/>
  <c r="H287" i="1"/>
  <c r="H284" i="1"/>
  <c r="H281" i="1"/>
  <c r="H282" i="1"/>
  <c r="H285" i="1"/>
  <c r="H280" i="1"/>
  <c r="H279" i="1"/>
  <c r="H286" i="1"/>
  <c r="H278" i="1"/>
  <c r="H74" i="1"/>
  <c r="H75" i="1" s="1"/>
  <c r="H319" i="1" l="1"/>
  <c r="H334" i="1"/>
  <c r="H304" i="1"/>
  <c r="H289" i="1"/>
  <c r="H290" i="1" s="1"/>
  <c r="H82" i="1"/>
  <c r="H83" i="1"/>
  <c r="H84" i="1"/>
  <c r="H78" i="1"/>
  <c r="H85" i="1"/>
  <c r="H87" i="1"/>
  <c r="H79" i="1"/>
  <c r="H80" i="1"/>
  <c r="H81" i="1"/>
  <c r="H86" i="1"/>
  <c r="H305" i="1" l="1"/>
  <c r="H320" i="1" s="1"/>
  <c r="H335" i="1" s="1"/>
  <c r="H350" i="1" s="1"/>
  <c r="H89" i="1"/>
  <c r="H90" i="1" s="1"/>
  <c r="H95" i="1" l="1"/>
  <c r="H98" i="1"/>
  <c r="H97" i="1"/>
  <c r="H103" i="1"/>
  <c r="H99" i="1"/>
  <c r="H96" i="1"/>
  <c r="H94" i="1"/>
  <c r="H101" i="1"/>
  <c r="H100" i="1"/>
  <c r="H102" i="1"/>
  <c r="H105" i="1" l="1"/>
  <c r="H106" i="1" s="1"/>
  <c r="H112" i="1" l="1"/>
  <c r="H114" i="1"/>
  <c r="H113" i="1"/>
  <c r="H110" i="1"/>
  <c r="H121" i="1" s="1"/>
  <c r="H122" i="1" s="1"/>
  <c r="H119" i="1"/>
  <c r="H115" i="1"/>
  <c r="H116" i="1"/>
  <c r="H117" i="1"/>
  <c r="H118" i="1"/>
  <c r="H111" i="1"/>
  <c r="H135" i="1" l="1"/>
  <c r="H133" i="1"/>
  <c r="H129" i="1"/>
  <c r="H130" i="1"/>
  <c r="H126" i="1"/>
  <c r="H131" i="1"/>
  <c r="H134" i="1"/>
  <c r="H128" i="1"/>
  <c r="H127" i="1"/>
  <c r="H132" i="1"/>
  <c r="H137" i="1" l="1"/>
  <c r="H138" i="1" s="1"/>
  <c r="H153" i="1"/>
  <c r="H154" i="1" s="1"/>
  <c r="H158" i="1" l="1"/>
  <c r="H165" i="1"/>
  <c r="H157" i="1"/>
  <c r="H161" i="1"/>
  <c r="H159" i="1"/>
  <c r="H166" i="1"/>
  <c r="H163" i="1"/>
  <c r="H162" i="1"/>
  <c r="H164" i="1"/>
  <c r="H160" i="1"/>
  <c r="H168" i="1" l="1"/>
</calcChain>
</file>

<file path=xl/sharedStrings.xml><?xml version="1.0" encoding="utf-8"?>
<sst xmlns="http://schemas.openxmlformats.org/spreadsheetml/2006/main" count="635" uniqueCount="61">
  <si>
    <t>Name</t>
  </si>
  <si>
    <t>Price</t>
  </si>
  <si>
    <t>Market CAP(In cr)</t>
  </si>
  <si>
    <t>% of Market cap</t>
  </si>
  <si>
    <t>NO of shares(In cr)</t>
  </si>
  <si>
    <t>%change in price</t>
  </si>
  <si>
    <t>D(Previous Day)* F</t>
  </si>
  <si>
    <t>Index change</t>
  </si>
  <si>
    <t>ITC ltd.</t>
  </si>
  <si>
    <t>Hindustan Unilever Ltd.</t>
  </si>
  <si>
    <t>Nestle India Ltd.</t>
  </si>
  <si>
    <t>Tata Consumer Products Ltd.</t>
  </si>
  <si>
    <t>Varun Beverages Ltd.</t>
  </si>
  <si>
    <t>Britannia Industries Ltd.</t>
  </si>
  <si>
    <t>Godrej Consumer Products Ltd</t>
  </si>
  <si>
    <t>Marico Ltd.</t>
  </si>
  <si>
    <t>United Spirits Ltd.</t>
  </si>
  <si>
    <t>Colgate Palmolive (India) Ltd</t>
  </si>
  <si>
    <t>change in index</t>
  </si>
  <si>
    <t>new index</t>
  </si>
  <si>
    <t>Base Index</t>
  </si>
  <si>
    <t>NAME</t>
  </si>
  <si>
    <t>P/E RATIO</t>
  </si>
  <si>
    <t>average PE</t>
  </si>
  <si>
    <t>PE ratio</t>
  </si>
  <si>
    <t>PEG Ratio</t>
  </si>
  <si>
    <t xml:space="preserve">Results </t>
  </si>
  <si>
    <t xml:space="preserve">Conditions to filter overvalued stock </t>
  </si>
  <si>
    <t xml:space="preserve">1.) The PEG ratio should be less than 1.5 , If more we will reject the stock </t>
  </si>
  <si>
    <t xml:space="preserve">2.) If the PEG ratio is negative, we will reject the stock </t>
  </si>
  <si>
    <t>Rejected</t>
  </si>
  <si>
    <t>Top line</t>
  </si>
  <si>
    <t>Bottom line</t>
  </si>
  <si>
    <t xml:space="preserve">Increase </t>
  </si>
  <si>
    <t>Increase</t>
  </si>
  <si>
    <t>consistent</t>
  </si>
  <si>
    <t xml:space="preserve">  </t>
  </si>
  <si>
    <t xml:space="preserve">ACCEPT </t>
  </si>
  <si>
    <t>ACCEPT ( BORDERLINE)</t>
  </si>
  <si>
    <t xml:space="preserve">Relatively Undervalued stock - Value based </t>
  </si>
  <si>
    <t xml:space="preserve">Relatively overvalued stock - growth based </t>
  </si>
  <si>
    <t xml:space="preserve">interest coverage ratio </t>
  </si>
  <si>
    <t>debt to equity ratio</t>
  </si>
  <si>
    <t>Return on equity</t>
  </si>
  <si>
    <t>Profit margin</t>
  </si>
  <si>
    <t>Current Ratio</t>
  </si>
  <si>
    <t>quick Ratio</t>
  </si>
  <si>
    <t>Higher the better</t>
  </si>
  <si>
    <t>Lower the better</t>
  </si>
  <si>
    <t>Rank1</t>
  </si>
  <si>
    <t>Rank 2</t>
  </si>
  <si>
    <t>Rank 3</t>
  </si>
  <si>
    <t>Rank 4</t>
  </si>
  <si>
    <t>Rank 5</t>
  </si>
  <si>
    <t xml:space="preserve">Sum of ranks </t>
  </si>
  <si>
    <t>Asset allocation</t>
  </si>
  <si>
    <t>No. of shares</t>
  </si>
  <si>
    <t>No. of units</t>
  </si>
  <si>
    <t>NAV</t>
  </si>
  <si>
    <t>AUM/ No. of units</t>
  </si>
  <si>
    <t>AUM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</si>
</sst>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FF0000"/>
      <name val="Aptos Narrow"/>
      <family val="2"/>
      <scheme val="minor"/>
    </font>
    <font>
      <sz val="11"/>
      <color rgb="FF22222F"/>
      <name val="Arial"/>
      <family val="2"/>
    </font>
    <font>
      <sz val="11"/>
      <color rgb="FF22222F"/>
      <name val="Arial"/>
      <family val="2"/>
    </font>
    <font>
      <b/>
      <sz val="11"/>
      <color rgb="FF22222F"/>
      <name val="Aptos Narrow"/>
      <family val="2"/>
      <scheme val="minor"/>
    </font>
    <font>
      <sz val="11"/>
      <color theme="1"/>
      <name val="Arial"/>
      <family val="2"/>
    </font>
    <font>
      <sz val="11"/>
      <color rgb="FFFF0000"/>
      <name val="Aptos Narrow"/>
      <family val="2"/>
      <scheme val="minor"/>
    </font>
    <font>
      <sz val="11"/>
      <color rgb="FF000000"/>
      <name val="Aptos Narrow"/>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rgb="FFFFFFCC"/>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2" fillId="2" borderId="0" xfId="0" applyFont="1" applyFill="1"/>
    <xf numFmtId="2" fontId="0" fillId="0" borderId="0" xfId="0" applyNumberFormat="1"/>
    <xf numFmtId="10" fontId="2" fillId="2" borderId="0" xfId="0" applyNumberFormat="1" applyFont="1" applyFill="1"/>
    <xf numFmtId="0" fontId="2" fillId="3" borderId="0" xfId="0" applyFont="1" applyFill="1" applyAlignment="1">
      <alignment wrapText="1"/>
    </xf>
    <xf numFmtId="0" fontId="2" fillId="3" borderId="0" xfId="0" applyFont="1" applyFill="1"/>
    <xf numFmtId="10" fontId="0" fillId="0" borderId="0" xfId="1" applyNumberFormat="1" applyFont="1"/>
    <xf numFmtId="0" fontId="3" fillId="4" borderId="0" xfId="0" applyFont="1" applyFill="1"/>
    <xf numFmtId="0" fontId="0" fillId="5" borderId="0" xfId="0" applyFill="1"/>
    <xf numFmtId="1" fontId="0" fillId="0" borderId="0" xfId="0" applyNumberFormat="1"/>
    <xf numFmtId="10" fontId="0" fillId="0" borderId="0" xfId="0" applyNumberFormat="1"/>
    <xf numFmtId="1" fontId="0" fillId="4" borderId="0" xfId="0" applyNumberFormat="1" applyFill="1"/>
    <xf numFmtId="0" fontId="2" fillId="4" borderId="0" xfId="0" applyFont="1" applyFill="1"/>
    <xf numFmtId="2" fontId="2" fillId="4" borderId="0" xfId="0" applyNumberFormat="1" applyFont="1" applyFill="1"/>
    <xf numFmtId="14" fontId="2" fillId="4" borderId="0" xfId="0" applyNumberFormat="1" applyFont="1" applyFill="1"/>
    <xf numFmtId="0" fontId="0" fillId="4" borderId="0" xfId="0" applyFill="1"/>
    <xf numFmtId="0" fontId="2" fillId="6" borderId="0" xfId="0" applyFont="1" applyFill="1"/>
    <xf numFmtId="0" fontId="2" fillId="0" borderId="0" xfId="0" applyFont="1"/>
    <xf numFmtId="0" fontId="0" fillId="7" borderId="0" xfId="0" applyFill="1"/>
    <xf numFmtId="2" fontId="0" fillId="4" borderId="0" xfId="0" applyNumberFormat="1" applyFill="1"/>
    <xf numFmtId="0" fontId="6" fillId="7" borderId="0" xfId="0" applyFont="1" applyFill="1" applyAlignment="1">
      <alignment horizontal="left" vertical="center" wrapText="1"/>
    </xf>
    <xf numFmtId="0" fontId="6" fillId="8" borderId="0" xfId="0" applyFont="1" applyFill="1" applyAlignment="1">
      <alignment horizontal="left" vertical="center" wrapText="1"/>
    </xf>
    <xf numFmtId="0" fontId="2" fillId="4" borderId="1" xfId="0" applyFont="1" applyFill="1" applyBorder="1"/>
    <xf numFmtId="0" fontId="2" fillId="2" borderId="1" xfId="0" applyFont="1" applyFill="1" applyBorder="1"/>
    <xf numFmtId="0" fontId="0" fillId="0" borderId="1" xfId="0" applyBorder="1"/>
    <xf numFmtId="0" fontId="2" fillId="5" borderId="0" xfId="0" applyFont="1" applyFill="1" applyAlignment="1">
      <alignment horizontal="left"/>
    </xf>
    <xf numFmtId="0" fontId="5" fillId="5" borderId="1" xfId="0" applyFont="1" applyFill="1" applyBorder="1" applyAlignment="1">
      <alignment horizontal="right" vertical="center" wrapText="1"/>
    </xf>
    <xf numFmtId="0" fontId="4" fillId="5" borderId="1" xfId="0" applyFont="1" applyFill="1" applyBorder="1" applyAlignment="1">
      <alignment horizontal="right" vertical="center" wrapText="1"/>
    </xf>
    <xf numFmtId="0" fontId="5" fillId="7" borderId="1" xfId="0" applyFont="1" applyFill="1" applyBorder="1" applyAlignment="1">
      <alignment horizontal="right" vertical="center" wrapText="1"/>
    </xf>
    <xf numFmtId="0" fontId="5" fillId="8" borderId="1" xfId="0" applyFont="1" applyFill="1" applyBorder="1" applyAlignment="1">
      <alignment horizontal="right" vertical="center" wrapText="1"/>
    </xf>
    <xf numFmtId="0" fontId="7" fillId="7" borderId="1" xfId="0" applyFont="1" applyFill="1" applyBorder="1" applyAlignment="1">
      <alignment horizontal="right"/>
    </xf>
    <xf numFmtId="0" fontId="4" fillId="8" borderId="1" xfId="0" applyFont="1" applyFill="1" applyBorder="1" applyAlignment="1">
      <alignment horizontal="right" vertical="center" wrapText="1"/>
    </xf>
    <xf numFmtId="0" fontId="4" fillId="6" borderId="1" xfId="0" applyFont="1" applyFill="1" applyBorder="1" applyAlignment="1">
      <alignment horizontal="right" vertical="center" wrapText="1"/>
    </xf>
    <xf numFmtId="0" fontId="5" fillId="6" borderId="1" xfId="0" applyFont="1" applyFill="1" applyBorder="1" applyAlignment="1">
      <alignment horizontal="right" vertical="center" wrapText="1"/>
    </xf>
    <xf numFmtId="0" fontId="5" fillId="3" borderId="1" xfId="0" applyFont="1" applyFill="1" applyBorder="1" applyAlignment="1">
      <alignment horizontal="right" vertical="center" wrapText="1"/>
    </xf>
    <xf numFmtId="0" fontId="2" fillId="0" borderId="1" xfId="0" applyFont="1" applyBorder="1"/>
    <xf numFmtId="3" fontId="0" fillId="7" borderId="0" xfId="0" applyNumberFormat="1" applyFill="1"/>
    <xf numFmtId="164" fontId="0" fillId="0" borderId="0" xfId="0" applyNumberFormat="1"/>
    <xf numFmtId="3" fontId="8" fillId="0" borderId="0" xfId="0" applyNumberFormat="1" applyFont="1"/>
    <xf numFmtId="0" fontId="0" fillId="9" borderId="0" xfId="0" applyFill="1"/>
    <xf numFmtId="4" fontId="9" fillId="0" borderId="0" xfId="0" applyNumberFormat="1" applyFont="1"/>
  </cellXfs>
  <cellStyles count="2">
    <cellStyle name="Normal" xfId="0" builtinId="0"/>
    <cellStyle name="Percent" xfId="1" builtin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8</xdr:col>
      <xdr:colOff>51487</xdr:colOff>
      <xdr:row>0</xdr:row>
      <xdr:rowOff>85811</xdr:rowOff>
    </xdr:from>
    <xdr:ext cx="2829429" cy="311496"/>
    <xdr:sp macro="" textlink="">
      <xdr:nvSpPr>
        <xdr:cNvPr id="2" name="TextBox 1">
          <a:extLst>
            <a:ext uri="{FF2B5EF4-FFF2-40B4-BE49-F238E27FC236}">
              <a16:creationId xmlns:a16="http://schemas.microsoft.com/office/drawing/2014/main" id="{D8DA577B-A7B3-6E11-B16F-1B45C010DB74}"/>
            </a:ext>
          </a:extLst>
        </xdr:cNvPr>
        <xdr:cNvSpPr txBox="1"/>
      </xdr:nvSpPr>
      <xdr:spPr>
        <a:xfrm>
          <a:off x="9482095" y="85811"/>
          <a:ext cx="28294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data taken from money control.com</a:t>
          </a:r>
        </a:p>
      </xdr:txBody>
    </xdr:sp>
    <xdr:clientData/>
  </xdr:oneCellAnchor>
  <xdr:oneCellAnchor>
    <xdr:from>
      <xdr:col>9</xdr:col>
      <xdr:colOff>197365</xdr:colOff>
      <xdr:row>2</xdr:row>
      <xdr:rowOff>60068</xdr:rowOff>
    </xdr:from>
    <xdr:ext cx="5397500" cy="2042297"/>
    <xdr:sp macro="" textlink="">
      <xdr:nvSpPr>
        <xdr:cNvPr id="3" name="TextBox 2">
          <a:extLst>
            <a:ext uri="{FF2B5EF4-FFF2-40B4-BE49-F238E27FC236}">
              <a16:creationId xmlns:a16="http://schemas.microsoft.com/office/drawing/2014/main" id="{3760FF31-1C1E-EDB6-EECA-230ED1F1225E}"/>
            </a:ext>
          </a:extLst>
        </xdr:cNvPr>
        <xdr:cNvSpPr txBox="1"/>
      </xdr:nvSpPr>
      <xdr:spPr>
        <a:xfrm>
          <a:off x="10237230" y="420473"/>
          <a:ext cx="5397500" cy="2042297"/>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rgbClr val="FF0000"/>
              </a:solidFill>
              <a:effectLst/>
              <a:latin typeface="+mn-lt"/>
              <a:ea typeface="+mn-ea"/>
              <a:cs typeface="+mn-cs"/>
            </a:rPr>
            <a:t>Why have you considered base index as 1000 instead of 100 ?</a:t>
          </a:r>
        </a:p>
        <a:p>
          <a:endParaRPr lang="en-IN" sz="1200" b="1">
            <a:solidFill>
              <a:schemeClr val="tx1"/>
            </a:solidFill>
            <a:effectLst/>
            <a:latin typeface="+mn-lt"/>
            <a:ea typeface="+mn-ea"/>
            <a:cs typeface="+mn-cs"/>
          </a:endParaRPr>
        </a:p>
        <a:p>
          <a:r>
            <a:rPr lang="en-IN" sz="1200" b="1">
              <a:solidFill>
                <a:schemeClr val="tx1"/>
              </a:solidFill>
              <a:effectLst/>
              <a:latin typeface="+mn-lt"/>
              <a:ea typeface="+mn-ea"/>
              <a:cs typeface="+mn-cs"/>
            </a:rPr>
            <a:t>I choose 1000 as a base index because most of the indices in india , apart from sensex have historically started at 1000. Since I am aiming to replicate real market conditions, this makes the index more aligned with standard practices. Additionaly, using 1000 as a base simplifies calculation and makes it easier to track and interpret changes over time.   </a:t>
          </a:r>
        </a:p>
        <a:p>
          <a:endParaRPr lang="en-IN" sz="1200" b="1">
            <a:solidFill>
              <a:schemeClr val="tx1"/>
            </a:solidFill>
            <a:effectLst/>
            <a:latin typeface="+mn-lt"/>
            <a:ea typeface="+mn-ea"/>
            <a:cs typeface="+mn-cs"/>
          </a:endParaRPr>
        </a:p>
        <a:p>
          <a:r>
            <a:rPr lang="en-IN" sz="1200" b="1">
              <a:solidFill>
                <a:schemeClr val="tx1"/>
              </a:solidFill>
              <a:effectLst/>
              <a:latin typeface="+mn-lt"/>
              <a:ea typeface="+mn-ea"/>
              <a:cs typeface="+mn-cs"/>
            </a:rPr>
            <a:t>G =</a:t>
          </a:r>
          <a:r>
            <a:rPr lang="en-IN" sz="1200" b="1" baseline="0">
              <a:solidFill>
                <a:schemeClr val="tx1"/>
              </a:solidFill>
              <a:effectLst/>
              <a:latin typeface="+mn-lt"/>
              <a:ea typeface="+mn-ea"/>
              <a:cs typeface="+mn-cs"/>
            </a:rPr>
            <a:t> weighted average</a:t>
          </a:r>
          <a:endParaRPr lang="en-IN" sz="1200" b="1">
            <a:solidFill>
              <a:schemeClr val="tx1"/>
            </a:solidFill>
            <a:effectLst/>
            <a:latin typeface="+mn-lt"/>
            <a:ea typeface="+mn-ea"/>
            <a:cs typeface="+mn-cs"/>
          </a:endParaRPr>
        </a:p>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63500</xdr:colOff>
      <xdr:row>13</xdr:row>
      <xdr:rowOff>38100</xdr:rowOff>
    </xdr:from>
    <xdr:to>
      <xdr:col>10</xdr:col>
      <xdr:colOff>133350</xdr:colOff>
      <xdr:row>31</xdr:row>
      <xdr:rowOff>114300</xdr:rowOff>
    </xdr:to>
    <xdr:sp macro="" textlink="">
      <xdr:nvSpPr>
        <xdr:cNvPr id="2" name="TextBox 1">
          <a:extLst>
            <a:ext uri="{FF2B5EF4-FFF2-40B4-BE49-F238E27FC236}">
              <a16:creationId xmlns:a16="http://schemas.microsoft.com/office/drawing/2014/main" id="{E5A26BD8-BE16-93A1-BAFE-C185A81C4DDD}"/>
            </a:ext>
          </a:extLst>
        </xdr:cNvPr>
        <xdr:cNvSpPr txBox="1"/>
      </xdr:nvSpPr>
      <xdr:spPr>
        <a:xfrm>
          <a:off x="63500" y="2432050"/>
          <a:ext cx="8509000" cy="339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FF0000"/>
              </a:solidFill>
              <a:effectLst/>
              <a:latin typeface="+mn-lt"/>
              <a:ea typeface="+mn-ea"/>
              <a:cs typeface="+mn-cs"/>
            </a:rPr>
            <a:t>Why did we use median instead of mean while calculating the average PE ratio ?</a:t>
          </a:r>
        </a:p>
        <a:p>
          <a:r>
            <a:rPr lang="en-IN" sz="1100" b="1">
              <a:solidFill>
                <a:schemeClr val="dk1"/>
              </a:solidFill>
              <a:effectLst/>
              <a:latin typeface="+mn-lt"/>
              <a:ea typeface="+mn-ea"/>
              <a:cs typeface="+mn-cs"/>
            </a:rPr>
            <a:t>I choose the median because PE ratios sometimes can have extreme values or outliers, especially due to overvalued or loss making companies. This outliers can significantly distort the mean and give a misleading picture of the overall valuation. The median, on the other hand , represents the middle value and is not affected by extreme observations. Therefore, it provides a more reliable and realistic measure of the typical PE ratio. </a:t>
          </a:r>
        </a:p>
        <a:p>
          <a:r>
            <a:rPr lang="en-IN" sz="1100" b="1">
              <a:solidFill>
                <a:schemeClr val="dk1"/>
              </a:solidFill>
              <a:effectLst/>
              <a:latin typeface="+mn-lt"/>
              <a:ea typeface="+mn-ea"/>
              <a:cs typeface="+mn-cs"/>
            </a:rPr>
            <a:t> </a:t>
          </a:r>
        </a:p>
        <a:p>
          <a:r>
            <a:rPr lang="en-IN" sz="1100" b="1">
              <a:solidFill>
                <a:srgbClr val="FF0000"/>
              </a:solidFill>
              <a:effectLst/>
              <a:latin typeface="+mn-lt"/>
              <a:ea typeface="+mn-ea"/>
              <a:cs typeface="+mn-cs"/>
            </a:rPr>
            <a:t>Why did we use median PE instead of market cap weighted PE ? </a:t>
          </a:r>
        </a:p>
        <a:p>
          <a:r>
            <a:rPr lang="en-IN" sz="1100" b="1">
              <a:solidFill>
                <a:schemeClr val="dk1"/>
              </a:solidFill>
              <a:effectLst/>
              <a:latin typeface="+mn-lt"/>
              <a:ea typeface="+mn-ea"/>
              <a:cs typeface="+mn-cs"/>
            </a:rPr>
            <a:t>We preferred median PE because it provides the more balance and reliable representation of sector valuation, especially when the data set contains outliers or extreme PE values.</a:t>
          </a:r>
        </a:p>
        <a:p>
          <a:r>
            <a:rPr lang="en-IN" sz="1100" b="1">
              <a:solidFill>
                <a:schemeClr val="dk1"/>
              </a:solidFill>
              <a:effectLst/>
              <a:latin typeface="+mn-lt"/>
              <a:ea typeface="+mn-ea"/>
              <a:cs typeface="+mn-cs"/>
            </a:rPr>
            <a:t>In a market cap weighted PE approach, large cap companies dominate the calculation due to their higher market capitalisation. As a result, the valuation of smaller companies may get overshadowed and the overall sector picture can become biased towards a few heavy weight stocks. On the other hand, median PE treats all companies equally and is less affected by extreme values or disproportionally large firms. Therefore, it gives a better indication of typical valuation level within the selected stocks group. </a:t>
          </a:r>
        </a:p>
        <a:p>
          <a:endParaRPr lang="en-IN" sz="1100" b="1">
            <a:solidFill>
              <a:schemeClr val="dk1"/>
            </a:solidFill>
            <a:effectLst/>
            <a:latin typeface="+mn-lt"/>
            <a:ea typeface="+mn-ea"/>
            <a:cs typeface="+mn-cs"/>
          </a:endParaRPr>
        </a:p>
        <a:p>
          <a:r>
            <a:rPr lang="en-IN" sz="1100" b="1">
              <a:solidFill>
                <a:srgbClr val="FF0000"/>
              </a:solidFill>
              <a:effectLst/>
              <a:latin typeface="+mn-lt"/>
              <a:ea typeface="+mn-ea"/>
              <a:cs typeface="+mn-cs"/>
            </a:rPr>
            <a:t>How do use a PE ratio to identify whether a stock is undervalued or overvalued ?</a:t>
          </a:r>
        </a:p>
        <a:p>
          <a:r>
            <a:rPr lang="en-IN" sz="1100" b="1">
              <a:solidFill>
                <a:schemeClr val="dk1"/>
              </a:solidFill>
              <a:effectLst/>
              <a:latin typeface="+mn-lt"/>
              <a:ea typeface="+mn-ea"/>
              <a:cs typeface="+mn-cs"/>
            </a:rPr>
            <a:t>We use PE ratio on a relative basis rather than in isolation we first calculate the avg or median PE of a group of comparable stocks within the same sector. Then, we compare individual stock PE ratio with this benchmark :</a:t>
          </a:r>
        </a:p>
        <a:p>
          <a:pPr lvl="0"/>
          <a:r>
            <a:rPr lang="en-IN" sz="1100" b="1">
              <a:solidFill>
                <a:schemeClr val="dk1"/>
              </a:solidFill>
              <a:effectLst/>
              <a:latin typeface="+mn-lt"/>
              <a:ea typeface="+mn-ea"/>
              <a:cs typeface="+mn-cs"/>
            </a:rPr>
            <a:t>Stock trading below average or median PE are considered relatively undervalued. </a:t>
          </a:r>
        </a:p>
        <a:p>
          <a:pPr lvl="0"/>
          <a:r>
            <a:rPr lang="en-IN" sz="1100" b="1">
              <a:solidFill>
                <a:schemeClr val="dk1"/>
              </a:solidFill>
              <a:effectLst/>
              <a:latin typeface="+mn-lt"/>
              <a:ea typeface="+mn-ea"/>
              <a:cs typeface="+mn-cs"/>
            </a:rPr>
            <a:t>Stocks trading above it are considered relatively overvalued.  </a:t>
          </a:r>
        </a:p>
        <a:p>
          <a:r>
            <a:rPr lang="en-IN" sz="1100" b="1">
              <a:solidFill>
                <a:schemeClr val="dk1"/>
              </a:solidFill>
              <a:effectLst/>
              <a:latin typeface="+mn-lt"/>
              <a:ea typeface="+mn-ea"/>
              <a:cs typeface="+mn-cs"/>
            </a:rPr>
            <a:t>However, this is only preliminary filter, and further analysis is required before making any investment decision.</a:t>
          </a:r>
          <a:r>
            <a:rPr lang="en-IN" sz="1100" b="1" baseline="0">
              <a:solidFill>
                <a:schemeClr val="dk1"/>
              </a:solidFill>
              <a:effectLst/>
              <a:latin typeface="+mn-lt"/>
              <a:ea typeface="+mn-ea"/>
              <a:cs typeface="+mn-cs"/>
            </a:rPr>
            <a:t> </a:t>
          </a:r>
          <a:endParaRPr lang="en-IN" sz="1100" b="1">
            <a:solidFill>
              <a:schemeClr val="dk1"/>
            </a:solidFill>
            <a:effectLst/>
            <a:latin typeface="+mn-lt"/>
            <a:ea typeface="+mn-ea"/>
            <a:cs typeface="+mn-cs"/>
          </a:endParaRPr>
        </a:p>
        <a:p>
          <a:endParaRPr lang="en-IN" sz="1100" b="1">
            <a:solidFill>
              <a:schemeClr val="dk1"/>
            </a:solidFill>
            <a:effectLst/>
            <a:latin typeface="+mn-lt"/>
            <a:ea typeface="+mn-ea"/>
            <a:cs typeface="+mn-cs"/>
          </a:endParaRPr>
        </a:p>
        <a:p>
          <a:endParaRPr lang="en-IN" sz="1100"/>
        </a:p>
      </xdr:txBody>
    </xdr:sp>
    <xdr:clientData/>
  </xdr:twoCellAnchor>
  <xdr:twoCellAnchor>
    <xdr:from>
      <xdr:col>10</xdr:col>
      <xdr:colOff>692150</xdr:colOff>
      <xdr:row>12</xdr:row>
      <xdr:rowOff>171451</xdr:rowOff>
    </xdr:from>
    <xdr:to>
      <xdr:col>21</xdr:col>
      <xdr:colOff>561731</xdr:colOff>
      <xdr:row>43</xdr:row>
      <xdr:rowOff>146540</xdr:rowOff>
    </xdr:to>
    <xdr:sp macro="" textlink="">
      <xdr:nvSpPr>
        <xdr:cNvPr id="3" name="TextBox 2">
          <a:extLst>
            <a:ext uri="{FF2B5EF4-FFF2-40B4-BE49-F238E27FC236}">
              <a16:creationId xmlns:a16="http://schemas.microsoft.com/office/drawing/2014/main" id="{5CEFEFC8-BBFC-CD96-3D6D-6EFF529451E1}"/>
            </a:ext>
          </a:extLst>
        </xdr:cNvPr>
        <xdr:cNvSpPr txBox="1"/>
      </xdr:nvSpPr>
      <xdr:spPr>
        <a:xfrm>
          <a:off x="10982406" y="2418374"/>
          <a:ext cx="9988876" cy="5779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0000"/>
              </a:solidFill>
            </a:rPr>
            <a:t>Condition to filter undervalued stock </a:t>
          </a:r>
        </a:p>
        <a:p>
          <a:r>
            <a:rPr lang="en-IN" sz="1100"/>
            <a:t> </a:t>
          </a:r>
        </a:p>
        <a:p>
          <a:r>
            <a:rPr lang="en-IN" sz="1100" b="1" i="0"/>
            <a:t>1. If</a:t>
          </a:r>
          <a:r>
            <a:rPr lang="en-IN" sz="1100" b="1" i="0" baseline="0"/>
            <a:t> the top line and bottom line both are increasing, then we will select the stock. </a:t>
          </a:r>
          <a:r>
            <a:rPr lang="en-IN" sz="1100" b="0" i="0" baseline="0"/>
            <a:t> </a:t>
          </a:r>
          <a:r>
            <a:rPr lang="en-IN" sz="1100" b="1" i="0" baseline="0"/>
            <a:t>This indicates strong demand, effecient operations, and overall business growth.</a:t>
          </a:r>
        </a:p>
        <a:p>
          <a:endParaRPr lang="en-IN" sz="1100" b="1" i="0" baseline="0"/>
        </a:p>
        <a:p>
          <a:r>
            <a:rPr lang="en-IN" sz="1100" b="1" i="0" baseline="0"/>
            <a:t>2. The top line is increasing and bottom line is decreasing, then we will still select the stock. This may indicate that the company is in expansion phase, investing in growth or temporarily facing margin pressure. </a:t>
          </a:r>
        </a:p>
        <a:p>
          <a:endParaRPr lang="en-IN" sz="1100" b="1" i="0" baseline="0"/>
        </a:p>
        <a:p>
          <a:r>
            <a:rPr lang="en-IN" sz="1100" b="1" i="0" baseline="0"/>
            <a:t>3. If the bottom line is increasing and top line is decreasing, then we will still select the stock. This may indicate the result from cost optimisation, a shift to high margin products/services, or other strategic initiatives that improve profitability. </a:t>
          </a:r>
        </a:p>
        <a:p>
          <a:endParaRPr lang="en-IN" sz="1100" b="1" i="0" baseline="0"/>
        </a:p>
        <a:p>
          <a:r>
            <a:rPr lang="en-IN" sz="1100" b="1" i="0" baseline="0"/>
            <a:t>4. If either the top or bottom line are fluctuating , and if the fluctuation is around </a:t>
          </a:r>
          <a:r>
            <a:rPr lang="en-IN" sz="1100" b="1" i="0" baseline="0">
              <a:solidFill>
                <a:srgbClr val="FF0000"/>
              </a:solidFill>
            </a:rPr>
            <a:t>(+-) 10-15%, </a:t>
          </a:r>
          <a:r>
            <a:rPr lang="en-IN" sz="1100" b="1" i="0" baseline="0"/>
            <a:t>we will consider it as a constant/ stable growth ; hence we will select the stock. Such variation are considered normal anmd do not impact the stocks eligibility. </a:t>
          </a:r>
        </a:p>
        <a:p>
          <a:endParaRPr lang="en-IN" sz="1100" b="1" i="0" baseline="0"/>
        </a:p>
        <a:p>
          <a:r>
            <a:rPr lang="en-IN" sz="1100" b="1" i="0" baseline="0"/>
            <a:t>5. If the fluctuation is </a:t>
          </a:r>
          <a:r>
            <a:rPr lang="en-IN" sz="1100" b="1" i="0" baseline="0">
              <a:solidFill>
                <a:srgbClr val="FF0000"/>
              </a:solidFill>
            </a:rPr>
            <a:t>more than 25% </a:t>
          </a:r>
          <a:r>
            <a:rPr lang="en-IN" sz="1100" b="1" i="0" baseline="0"/>
            <a:t>and that too in just </a:t>
          </a:r>
          <a:r>
            <a:rPr lang="en-IN" sz="1100" b="1" i="0" baseline="0">
              <a:solidFill>
                <a:srgbClr val="FF0000"/>
              </a:solidFill>
            </a:rPr>
            <a:t>a single year </a:t>
          </a:r>
          <a:r>
            <a:rPr lang="en-IN" sz="1100" b="1" i="0" baseline="0"/>
            <a:t>we will ignore that fluctuation. It will be treated as an exceptional case and ignored provided it is not a part of recurring trend. </a:t>
          </a:r>
        </a:p>
        <a:p>
          <a:endParaRPr lang="en-IN" sz="1100" b="1" i="0" baseline="0"/>
        </a:p>
        <a:p>
          <a:r>
            <a:rPr lang="en-IN" sz="1100" b="1" i="0" baseline="0"/>
            <a:t>6. If we see that the bottom line has more than 3 negative PATs , we will consider it as a down trend. Also note, </a:t>
          </a:r>
          <a:r>
            <a:rPr lang="en-IN" sz="1100" b="1" i="0" baseline="0">
              <a:solidFill>
                <a:srgbClr val="FF0000"/>
              </a:solidFill>
            </a:rPr>
            <a:t>If more than 50% of negative PATs </a:t>
          </a:r>
          <a:r>
            <a:rPr lang="en-IN" sz="1100" b="1" i="0" baseline="0"/>
            <a:t>is in the last 5 years then we weill reject the stock</a:t>
          </a:r>
        </a:p>
        <a:p>
          <a:endParaRPr lang="en-IN" sz="1100" b="1" i="0" baseline="0"/>
        </a:p>
        <a:p>
          <a:r>
            <a:rPr lang="en-IN" sz="1100" b="1" i="0" baseline="0"/>
            <a:t>7. If you see a massive mismatch in top line or bottom line or both as compared to the other years, but if that mismatch is in the year 2020 or 2021, we will ignore the same as it was the covid year and situation like these are exception. </a:t>
          </a:r>
        </a:p>
        <a:p>
          <a:endParaRPr lang="en-IN" sz="1100" b="1" i="0" baseline="0"/>
        </a:p>
        <a:p>
          <a:r>
            <a:rPr lang="en-IN" sz="1100" b="1" i="0" baseline="0"/>
            <a:t>8. Suppose, out of the last 10 year analysis, we found out that we are not able to determine based on the above mentioned points, we will check the data of the last 5 years only </a:t>
          </a:r>
        </a:p>
        <a:p>
          <a:endParaRPr lang="en-IN" sz="1100" b="1" i="0" baseline="0"/>
        </a:p>
        <a:p>
          <a:r>
            <a:rPr lang="en-IN" sz="1100" b="1" i="0" baseline="0"/>
            <a:t>9. If the top and bottom line both in down trend then reject the stock, as this reflects a weakening  business trajectory </a:t>
          </a:r>
        </a:p>
        <a:p>
          <a:endParaRPr lang="en-IN" sz="1100" b="1" i="0" baseline="0"/>
        </a:p>
        <a:p>
          <a:r>
            <a:rPr lang="en-IN" sz="1100" b="1" i="0" baseline="0"/>
            <a:t>10. Follow all above points diligently and I am  writing this point because sir just needed to make it 10 points.</a:t>
          </a:r>
        </a:p>
        <a:p>
          <a:endParaRPr lang="en-IN" sz="1100" b="1" i="0" baseline="0"/>
        </a:p>
        <a:p>
          <a:endParaRPr lang="en-IN" sz="1100" b="1" i="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345B-9108-4A0A-AF44-FC6276A38487}">
  <sheetPr codeName="Sheet1"/>
  <dimension ref="A1:J381"/>
  <sheetViews>
    <sheetView tabSelected="1" zoomScaleNormal="100" workbookViewId="0">
      <pane ySplit="1" topLeftCell="A360" activePane="bottomLeft" state="frozen"/>
      <selection pane="bottomLeft" activeCell="C372" sqref="C372"/>
    </sheetView>
  </sheetViews>
  <sheetFormatPr defaultRowHeight="14.5" x14ac:dyDescent="0.35"/>
  <cols>
    <col min="1" max="1" width="25.81640625" bestFit="1" customWidth="1"/>
    <col min="2" max="2" width="7.90625" bestFit="1" customWidth="1"/>
    <col min="3" max="3" width="15.36328125" bestFit="1" customWidth="1"/>
    <col min="4" max="4" width="14" bestFit="1" customWidth="1"/>
    <col min="5" max="5" width="16.26953125" bestFit="1" customWidth="1"/>
    <col min="6" max="6" width="15.1796875" bestFit="1" customWidth="1"/>
    <col min="7" max="7" width="16.54296875" bestFit="1" customWidth="1"/>
    <col min="8" max="8" width="11.90625" bestFit="1" customWidth="1"/>
    <col min="9" max="9" width="4.81640625" bestFit="1" customWidth="1"/>
    <col min="10" max="10" width="1.54296875" bestFit="1" customWidth="1"/>
  </cols>
  <sheetData>
    <row r="1" spans="1:9" x14ac:dyDescent="0.35">
      <c r="A1" s="4" t="s">
        <v>0</v>
      </c>
      <c r="B1" s="1" t="s">
        <v>1</v>
      </c>
      <c r="C1" s="5" t="s">
        <v>2</v>
      </c>
      <c r="D1" s="3" t="s">
        <v>3</v>
      </c>
      <c r="E1" s="5" t="s">
        <v>4</v>
      </c>
      <c r="F1" s="3" t="s">
        <v>5</v>
      </c>
      <c r="G1" s="5" t="s">
        <v>6</v>
      </c>
      <c r="H1" s="1" t="s">
        <v>7</v>
      </c>
    </row>
    <row r="2" spans="1:9" x14ac:dyDescent="0.35">
      <c r="A2" t="s">
        <v>8</v>
      </c>
      <c r="B2">
        <v>308.5</v>
      </c>
      <c r="C2">
        <v>385970</v>
      </c>
      <c r="D2" s="6">
        <f>C2/$C$13</f>
        <v>0.1974043907990129</v>
      </c>
      <c r="E2" s="2">
        <f>C2/B2</f>
        <v>1251.1183144246354</v>
      </c>
    </row>
    <row r="3" spans="1:9" x14ac:dyDescent="0.35">
      <c r="A3" t="s">
        <v>9</v>
      </c>
      <c r="B3">
        <v>2179</v>
      </c>
      <c r="C3">
        <v>511975</v>
      </c>
      <c r="D3" s="6">
        <f t="shared" ref="D3:D11" si="0">C3/$C$13</f>
        <v>0.26184965924637832</v>
      </c>
      <c r="E3" s="2">
        <f t="shared" ref="E3:E11" si="1">C3/B3</f>
        <v>234.95869664983937</v>
      </c>
    </row>
    <row r="4" spans="1:9" x14ac:dyDescent="0.35">
      <c r="A4" t="s">
        <v>10</v>
      </c>
      <c r="B4">
        <v>1406.5</v>
      </c>
      <c r="C4">
        <v>271217</v>
      </c>
      <c r="D4" s="6">
        <f t="shared" si="0"/>
        <v>0.13871395875155032</v>
      </c>
      <c r="E4" s="2">
        <f t="shared" si="1"/>
        <v>192.83114113046568</v>
      </c>
    </row>
    <row r="5" spans="1:9" x14ac:dyDescent="0.35">
      <c r="A5" t="s">
        <v>11</v>
      </c>
      <c r="B5">
        <v>1194.9000000000001</v>
      </c>
      <c r="C5">
        <v>118243</v>
      </c>
      <c r="D5" s="6">
        <f t="shared" si="0"/>
        <v>6.0475392857599508E-2</v>
      </c>
      <c r="E5" s="2">
        <f t="shared" si="1"/>
        <v>98.956398024939318</v>
      </c>
    </row>
    <row r="6" spans="1:9" x14ac:dyDescent="0.35">
      <c r="A6" t="s">
        <v>12</v>
      </c>
      <c r="B6">
        <v>519.85</v>
      </c>
      <c r="C6">
        <v>175828</v>
      </c>
      <c r="D6" s="6">
        <f t="shared" si="0"/>
        <v>8.9927246224859037E-2</v>
      </c>
      <c r="E6" s="2">
        <f t="shared" si="1"/>
        <v>338.22833509666248</v>
      </c>
    </row>
    <row r="7" spans="1:9" x14ac:dyDescent="0.35">
      <c r="A7" t="s">
        <v>13</v>
      </c>
      <c r="B7">
        <v>5333</v>
      </c>
      <c r="C7">
        <v>128455</v>
      </c>
      <c r="D7" s="6">
        <f t="shared" si="0"/>
        <v>6.5698321165083298E-2</v>
      </c>
      <c r="E7" s="2">
        <f t="shared" si="1"/>
        <v>24.086817926120382</v>
      </c>
    </row>
    <row r="8" spans="1:9" x14ac:dyDescent="0.35">
      <c r="A8" t="s">
        <v>14</v>
      </c>
      <c r="B8">
        <v>1017.3</v>
      </c>
      <c r="C8">
        <v>104094</v>
      </c>
      <c r="D8" s="6">
        <f t="shared" si="0"/>
        <v>5.3238885550256361E-2</v>
      </c>
      <c r="E8" s="2">
        <f t="shared" si="1"/>
        <v>102.3237982895901</v>
      </c>
    </row>
    <row r="9" spans="1:9" x14ac:dyDescent="0.35">
      <c r="A9" t="s">
        <v>15</v>
      </c>
      <c r="B9">
        <v>831.85</v>
      </c>
      <c r="C9">
        <v>107999</v>
      </c>
      <c r="D9" s="6">
        <f t="shared" si="0"/>
        <v>5.5236098147272053E-2</v>
      </c>
      <c r="E9" s="2">
        <f t="shared" si="1"/>
        <v>129.82989721704635</v>
      </c>
    </row>
    <row r="10" spans="1:9" x14ac:dyDescent="0.35">
      <c r="A10" t="s">
        <v>16</v>
      </c>
      <c r="B10">
        <v>1272.5999999999999</v>
      </c>
      <c r="C10">
        <v>92562</v>
      </c>
      <c r="D10" s="6">
        <f t="shared" si="0"/>
        <v>4.7340843125471495E-2</v>
      </c>
      <c r="E10" s="2">
        <f t="shared" si="1"/>
        <v>72.734559170202743</v>
      </c>
    </row>
    <row r="11" spans="1:9" x14ac:dyDescent="0.35">
      <c r="A11" t="s">
        <v>17</v>
      </c>
      <c r="B11">
        <v>2164.9</v>
      </c>
      <c r="C11">
        <v>58882</v>
      </c>
      <c r="D11" s="6">
        <f t="shared" si="0"/>
        <v>3.0115204132516719E-2</v>
      </c>
      <c r="E11" s="2">
        <f t="shared" si="1"/>
        <v>27.198484918471983</v>
      </c>
    </row>
    <row r="13" spans="1:9" x14ac:dyDescent="0.35">
      <c r="A13" s="14">
        <v>46163</v>
      </c>
      <c r="C13" s="15">
        <f>SUM(C2:C11)</f>
        <v>1955225</v>
      </c>
      <c r="H13" s="7" t="s">
        <v>20</v>
      </c>
      <c r="I13" s="7">
        <v>1000</v>
      </c>
    </row>
    <row r="15" spans="1:9" x14ac:dyDescent="0.35">
      <c r="A15" s="8"/>
      <c r="B15" s="8"/>
      <c r="C15" s="8"/>
      <c r="D15" s="8"/>
      <c r="E15" s="8"/>
      <c r="F15" s="8"/>
      <c r="G15" s="8"/>
      <c r="H15" s="8"/>
    </row>
    <row r="17" spans="1:8" x14ac:dyDescent="0.35">
      <c r="A17" t="s">
        <v>8</v>
      </c>
      <c r="B17">
        <v>301.7</v>
      </c>
      <c r="C17" s="9">
        <f>E17*B17</f>
        <v>377462.3954619125</v>
      </c>
      <c r="D17" s="6">
        <f>C17/$C$28</f>
        <v>0.19233349753066062</v>
      </c>
      <c r="E17" s="2">
        <v>1251.1183144246354</v>
      </c>
      <c r="F17" s="6">
        <f>(B17-B2)/B2</f>
        <v>-2.204213938411673E-2</v>
      </c>
      <c r="G17" s="10">
        <f>D2*F17</f>
        <v>-4.3512150970284923E-3</v>
      </c>
      <c r="H17" s="2">
        <f>G17*$I$13</f>
        <v>-4.3512150970284926</v>
      </c>
    </row>
    <row r="18" spans="1:8" x14ac:dyDescent="0.35">
      <c r="A18" t="s">
        <v>9</v>
      </c>
      <c r="B18">
        <v>2203.6</v>
      </c>
      <c r="C18" s="9">
        <f t="shared" ref="C18:C26" si="2">E18*B18</f>
        <v>517754.98393758602</v>
      </c>
      <c r="D18" s="6">
        <f t="shared" ref="D18:D26" si="3">C18/$C$28</f>
        <v>0.26381866941416982</v>
      </c>
      <c r="E18" s="2">
        <v>234.95869664983937</v>
      </c>
      <c r="F18" s="6">
        <f t="shared" ref="F18:F26" si="4">(B18-B3)/B3</f>
        <v>1.1289582377237223E-2</v>
      </c>
      <c r="G18" s="10">
        <f t="shared" ref="G18:G26" si="5">D3*F18</f>
        <v>2.9561732985134846E-3</v>
      </c>
      <c r="H18" s="2">
        <f t="shared" ref="H18:H26" si="6">G18*$I$13</f>
        <v>2.9561732985134848</v>
      </c>
    </row>
    <row r="19" spans="1:8" x14ac:dyDescent="0.35">
      <c r="A19" t="s">
        <v>10</v>
      </c>
      <c r="B19">
        <v>1423.1</v>
      </c>
      <c r="C19" s="9">
        <f t="shared" si="2"/>
        <v>274417.99694276572</v>
      </c>
      <c r="D19" s="6">
        <f t="shared" si="3"/>
        <v>0.13982789748571381</v>
      </c>
      <c r="E19" s="2">
        <v>192.83114113046568</v>
      </c>
      <c r="F19" s="6">
        <f t="shared" si="4"/>
        <v>1.1802346249555571E-2</v>
      </c>
      <c r="G19" s="10">
        <f t="shared" si="5"/>
        <v>1.637150170832366E-3</v>
      </c>
      <c r="H19" s="2">
        <f t="shared" si="6"/>
        <v>1.6371501708323661</v>
      </c>
    </row>
    <row r="20" spans="1:8" x14ac:dyDescent="0.35">
      <c r="A20" t="s">
        <v>11</v>
      </c>
      <c r="B20">
        <v>1191.8</v>
      </c>
      <c r="C20" s="9">
        <f t="shared" si="2"/>
        <v>117936.23516612267</v>
      </c>
      <c r="D20" s="6">
        <f t="shared" si="3"/>
        <v>6.0093638115502508E-2</v>
      </c>
      <c r="E20" s="2">
        <v>98.956398024939318</v>
      </c>
      <c r="F20" s="6">
        <f t="shared" si="4"/>
        <v>-2.5943593606160653E-3</v>
      </c>
      <c r="G20" s="10">
        <f t="shared" si="5"/>
        <v>-1.5689490154704723E-4</v>
      </c>
      <c r="H20" s="2">
        <f t="shared" si="6"/>
        <v>-0.15689490154704722</v>
      </c>
    </row>
    <row r="21" spans="1:8" x14ac:dyDescent="0.35">
      <c r="A21" t="s">
        <v>12</v>
      </c>
      <c r="B21">
        <v>539.45000000000005</v>
      </c>
      <c r="C21" s="9">
        <f t="shared" si="2"/>
        <v>182457.27536789459</v>
      </c>
      <c r="D21" s="6">
        <f t="shared" si="3"/>
        <v>9.2969912614680614E-2</v>
      </c>
      <c r="E21" s="2">
        <v>338.22833509666248</v>
      </c>
      <c r="F21" s="6">
        <f t="shared" si="4"/>
        <v>3.7703183610656964E-2</v>
      </c>
      <c r="G21" s="10">
        <f t="shared" si="5"/>
        <v>3.3905434760166187E-3</v>
      </c>
      <c r="H21" s="2">
        <f t="shared" si="6"/>
        <v>3.3905434760166187</v>
      </c>
    </row>
    <row r="22" spans="1:8" x14ac:dyDescent="0.35">
      <c r="A22" t="s">
        <v>13</v>
      </c>
      <c r="B22">
        <v>5331.5</v>
      </c>
      <c r="C22" s="9">
        <f t="shared" si="2"/>
        <v>128418.86977311081</v>
      </c>
      <c r="D22" s="6">
        <f t="shared" si="3"/>
        <v>6.5434996093244185E-2</v>
      </c>
      <c r="E22" s="2">
        <v>24.086817926120382</v>
      </c>
      <c r="F22" s="6">
        <f t="shared" si="4"/>
        <v>-2.8126757922370148E-4</v>
      </c>
      <c r="G22" s="10">
        <f t="shared" si="5"/>
        <v>-1.847880775316425E-5</v>
      </c>
      <c r="H22" s="2">
        <f t="shared" si="6"/>
        <v>-1.847880775316425E-2</v>
      </c>
    </row>
    <row r="23" spans="1:8" x14ac:dyDescent="0.35">
      <c r="A23" t="s">
        <v>14</v>
      </c>
      <c r="B23">
        <v>1027.5</v>
      </c>
      <c r="C23" s="9">
        <f t="shared" si="2"/>
        <v>105137.70274255383</v>
      </c>
      <c r="D23" s="6">
        <f t="shared" si="3"/>
        <v>5.3572229535788919E-2</v>
      </c>
      <c r="E23" s="2">
        <v>102.3237982895901</v>
      </c>
      <c r="F23" s="6">
        <f t="shared" si="4"/>
        <v>1.0026540843409069E-2</v>
      </c>
      <c r="G23" s="10">
        <f t="shared" si="5"/>
        <v>5.338018604272263E-4</v>
      </c>
      <c r="H23" s="2">
        <f t="shared" si="6"/>
        <v>0.53380186042722633</v>
      </c>
    </row>
    <row r="24" spans="1:8" x14ac:dyDescent="0.35">
      <c r="A24" t="s">
        <v>15</v>
      </c>
      <c r="B24">
        <v>824.45</v>
      </c>
      <c r="C24" s="9">
        <f t="shared" si="2"/>
        <v>107038.25876059388</v>
      </c>
      <c r="D24" s="6">
        <f t="shared" si="3"/>
        <v>5.4540645437869087E-2</v>
      </c>
      <c r="E24" s="2">
        <v>129.82989721704635</v>
      </c>
      <c r="F24" s="6">
        <f t="shared" si="4"/>
        <v>-8.895834585562274E-3</v>
      </c>
      <c r="G24" s="10">
        <f t="shared" si="5"/>
        <v>-4.9137119227001501E-4</v>
      </c>
      <c r="H24" s="2">
        <f t="shared" si="6"/>
        <v>-0.49137119227001502</v>
      </c>
    </row>
    <row r="25" spans="1:8" x14ac:dyDescent="0.35">
      <c r="A25" t="s">
        <v>16</v>
      </c>
      <c r="B25">
        <v>1282.0999999999999</v>
      </c>
      <c r="C25" s="9">
        <f t="shared" si="2"/>
        <v>93252.978312116931</v>
      </c>
      <c r="D25" s="6">
        <f t="shared" si="3"/>
        <v>4.751644584878939E-2</v>
      </c>
      <c r="E25" s="2">
        <v>72.734559170202743</v>
      </c>
      <c r="F25" s="6">
        <f t="shared" si="4"/>
        <v>7.4650322175074659E-3</v>
      </c>
      <c r="G25" s="10">
        <f t="shared" si="5"/>
        <v>3.5340091913561156E-4</v>
      </c>
      <c r="H25" s="2">
        <f t="shared" si="6"/>
        <v>0.35340091913561156</v>
      </c>
    </row>
    <row r="26" spans="1:8" x14ac:dyDescent="0.35">
      <c r="A26" t="s">
        <v>17</v>
      </c>
      <c r="B26">
        <v>2156.9</v>
      </c>
      <c r="C26" s="9">
        <f t="shared" si="2"/>
        <v>58664.412120652225</v>
      </c>
      <c r="D26" s="6">
        <f t="shared" si="3"/>
        <v>2.9892067923581109E-2</v>
      </c>
      <c r="E26" s="2">
        <v>27.198484918471983</v>
      </c>
      <c r="F26" s="6">
        <f t="shared" si="4"/>
        <v>-3.6953208000369531E-3</v>
      </c>
      <c r="G26" s="10">
        <f t="shared" si="5"/>
        <v>-1.1128534022824784E-4</v>
      </c>
      <c r="H26" s="2">
        <f t="shared" si="6"/>
        <v>-0.11128534022824783</v>
      </c>
    </row>
    <row r="28" spans="1:8" x14ac:dyDescent="0.35">
      <c r="A28" s="14">
        <v>46164</v>
      </c>
      <c r="C28" s="11">
        <f>SUM(C17:C26)</f>
        <v>1962541.108585309</v>
      </c>
      <c r="G28" s="12" t="s">
        <v>18</v>
      </c>
      <c r="H28" s="13">
        <f>SUM(H17:H26)</f>
        <v>3.7418243860983402</v>
      </c>
    </row>
    <row r="29" spans="1:8" x14ac:dyDescent="0.35">
      <c r="G29" s="12" t="s">
        <v>19</v>
      </c>
      <c r="H29" s="13">
        <f>I13+H28</f>
        <v>1003.7418243860983</v>
      </c>
    </row>
    <row r="30" spans="1:8" x14ac:dyDescent="0.35">
      <c r="A30" s="8"/>
      <c r="B30" s="8"/>
      <c r="C30" s="8"/>
      <c r="D30" s="8"/>
      <c r="E30" s="8"/>
      <c r="F30" s="8"/>
      <c r="G30" s="8"/>
      <c r="H30" s="8"/>
    </row>
    <row r="32" spans="1:8" x14ac:dyDescent="0.35">
      <c r="A32" t="s">
        <v>8</v>
      </c>
      <c r="B32">
        <v>303.95</v>
      </c>
      <c r="C32" s="9">
        <f>B32*E32</f>
        <v>380277.41166936792</v>
      </c>
      <c r="D32" s="6">
        <f>C32/$C$43</f>
        <v>0.1944178522722648</v>
      </c>
      <c r="E32" s="2">
        <v>1251.1183144246354</v>
      </c>
      <c r="F32" s="6">
        <f>(B32-B17)/B17</f>
        <v>7.4577394763009619E-3</v>
      </c>
      <c r="G32" s="10">
        <f>D17*F32</f>
        <v>1.4343731171494413E-3</v>
      </c>
      <c r="H32" s="2">
        <f>G32*$H$29</f>
        <v>1.439740289457955</v>
      </c>
    </row>
    <row r="33" spans="1:8" x14ac:dyDescent="0.35">
      <c r="A33" t="s">
        <v>9</v>
      </c>
      <c r="B33">
        <v>2196.5</v>
      </c>
      <c r="C33" s="9">
        <f t="shared" ref="C33:C41" si="7">B33*E33</f>
        <v>516086.77719137218</v>
      </c>
      <c r="D33" s="6">
        <f t="shared" ref="D33:D41" si="8">C33/$C$43</f>
        <v>0.26385075665472069</v>
      </c>
      <c r="E33" s="2">
        <v>234.95869664983937</v>
      </c>
      <c r="F33" s="6">
        <f t="shared" ref="F33:F41" si="9">(B33-B18)/B18</f>
        <v>-3.2220003630422534E-3</v>
      </c>
      <c r="G33" s="10">
        <f t="shared" ref="G33:G41" si="10">D18*F33</f>
        <v>-8.5002384862977939E-4</v>
      </c>
      <c r="H33" s="2">
        <f t="shared" ref="H33:H41" si="11">G33*$H$29</f>
        <v>-0.85320448859534748</v>
      </c>
    </row>
    <row r="34" spans="1:8" x14ac:dyDescent="0.35">
      <c r="A34" t="s">
        <v>10</v>
      </c>
      <c r="B34">
        <v>1413.6</v>
      </c>
      <c r="C34" s="9">
        <f t="shared" si="7"/>
        <v>272586.1011020263</v>
      </c>
      <c r="D34" s="6">
        <f t="shared" si="8"/>
        <v>0.13936037931593842</v>
      </c>
      <c r="E34" s="2">
        <v>192.83114113046568</v>
      </c>
      <c r="F34" s="6">
        <f t="shared" si="9"/>
        <v>-6.6755674232309749E-3</v>
      </c>
      <c r="G34" s="10">
        <f t="shared" si="10"/>
        <v>-9.3343055731451145E-4</v>
      </c>
      <c r="H34" s="2">
        <f t="shared" si="11"/>
        <v>-0.93692329053660017</v>
      </c>
    </row>
    <row r="35" spans="1:8" x14ac:dyDescent="0.35">
      <c r="A35" t="s">
        <v>11</v>
      </c>
      <c r="B35">
        <v>1187.2</v>
      </c>
      <c r="C35" s="9">
        <f t="shared" si="7"/>
        <v>117481.03573520796</v>
      </c>
      <c r="D35" s="6">
        <f t="shared" si="8"/>
        <v>6.0062496349951255E-2</v>
      </c>
      <c r="E35" s="2">
        <v>98.956398024939318</v>
      </c>
      <c r="F35" s="6">
        <f t="shared" si="9"/>
        <v>-3.8597080046986988E-3</v>
      </c>
      <c r="G35" s="10">
        <f t="shared" si="10"/>
        <v>-2.3194389606587186E-4</v>
      </c>
      <c r="H35" s="2">
        <f t="shared" si="11"/>
        <v>-0.23281178939237779</v>
      </c>
    </row>
    <row r="36" spans="1:8" x14ac:dyDescent="0.35">
      <c r="A36" t="s">
        <v>12</v>
      </c>
      <c r="B36">
        <v>530.70000000000005</v>
      </c>
      <c r="C36" s="9">
        <f t="shared" si="7"/>
        <v>179497.77743579878</v>
      </c>
      <c r="D36" s="6">
        <f t="shared" si="8"/>
        <v>9.1768722795070132E-2</v>
      </c>
      <c r="E36" s="2">
        <v>338.22833509666248</v>
      </c>
      <c r="F36" s="6">
        <f t="shared" si="9"/>
        <v>-1.6220224302530353E-2</v>
      </c>
      <c r="G36" s="10">
        <f t="shared" si="10"/>
        <v>-1.5079928359967658E-3</v>
      </c>
      <c r="H36" s="2">
        <f t="shared" si="11"/>
        <v>-1.51363548036456</v>
      </c>
    </row>
    <row r="37" spans="1:8" x14ac:dyDescent="0.35">
      <c r="A37" t="s">
        <v>13</v>
      </c>
      <c r="B37">
        <v>5327</v>
      </c>
      <c r="C37" s="9">
        <f t="shared" si="7"/>
        <v>128310.47909244327</v>
      </c>
      <c r="D37" s="6">
        <f t="shared" si="8"/>
        <v>6.5599078471869146E-2</v>
      </c>
      <c r="E37" s="2">
        <v>24.086817926120382</v>
      </c>
      <c r="F37" s="6">
        <f t="shared" si="9"/>
        <v>-8.4404013879771172E-4</v>
      </c>
      <c r="G37" s="10">
        <f t="shared" si="10"/>
        <v>-5.5229763184769548E-5</v>
      </c>
      <c r="H37" s="2">
        <f t="shared" si="11"/>
        <v>-5.5436423259492752E-2</v>
      </c>
    </row>
    <row r="38" spans="1:8" x14ac:dyDescent="0.35">
      <c r="A38" t="s">
        <v>14</v>
      </c>
      <c r="B38">
        <v>1020.4</v>
      </c>
      <c r="C38" s="9">
        <f t="shared" si="7"/>
        <v>104411.20377469774</v>
      </c>
      <c r="D38" s="6">
        <f t="shared" si="8"/>
        <v>5.3380509512586646E-2</v>
      </c>
      <c r="E38" s="2">
        <v>102.3237982895901</v>
      </c>
      <c r="F38" s="6">
        <f t="shared" si="9"/>
        <v>-6.9099756690997787E-3</v>
      </c>
      <c r="G38" s="10">
        <f t="shared" si="10"/>
        <v>-3.7018280263172995E-4</v>
      </c>
      <c r="H38" s="2">
        <f t="shared" si="11"/>
        <v>-0.37156796166993156</v>
      </c>
    </row>
    <row r="39" spans="1:8" x14ac:dyDescent="0.35">
      <c r="A39" t="s">
        <v>15</v>
      </c>
      <c r="B39">
        <v>823.35</v>
      </c>
      <c r="C39" s="9">
        <f t="shared" si="7"/>
        <v>106895.44587365512</v>
      </c>
      <c r="D39" s="6">
        <f t="shared" si="8"/>
        <v>5.4650584985340631E-2</v>
      </c>
      <c r="E39" s="2">
        <v>129.82989721704635</v>
      </c>
      <c r="F39" s="6">
        <f t="shared" si="9"/>
        <v>-1.3342228152101675E-3</v>
      </c>
      <c r="G39" s="10">
        <f t="shared" si="10"/>
        <v>-7.2769373499493277E-5</v>
      </c>
      <c r="H39" s="2">
        <f t="shared" si="11"/>
        <v>-7.3041663715814775E-2</v>
      </c>
    </row>
    <row r="40" spans="1:8" x14ac:dyDescent="0.35">
      <c r="A40" t="s">
        <v>16</v>
      </c>
      <c r="B40">
        <v>1284.0999999999999</v>
      </c>
      <c r="C40" s="9">
        <f t="shared" si="7"/>
        <v>93398.447430457338</v>
      </c>
      <c r="D40" s="6">
        <f t="shared" si="8"/>
        <v>4.7750208131692277E-2</v>
      </c>
      <c r="E40" s="2">
        <v>72.734559170202743</v>
      </c>
      <c r="F40" s="6">
        <f t="shared" si="9"/>
        <v>1.5599407222525545E-3</v>
      </c>
      <c r="G40" s="10">
        <f t="shared" si="10"/>
        <v>7.4122838856234915E-5</v>
      </c>
      <c r="H40" s="2">
        <f t="shared" si="11"/>
        <v>7.4400193502234008E-2</v>
      </c>
    </row>
    <row r="41" spans="1:8" x14ac:dyDescent="0.35">
      <c r="A41" t="s">
        <v>17</v>
      </c>
      <c r="B41">
        <v>2097</v>
      </c>
      <c r="C41" s="9">
        <f t="shared" si="7"/>
        <v>57035.222874035746</v>
      </c>
      <c r="D41" s="6">
        <f t="shared" si="8"/>
        <v>2.9159411510565912E-2</v>
      </c>
      <c r="E41" s="2">
        <v>27.198484918471983</v>
      </c>
      <c r="F41" s="6">
        <f t="shared" si="9"/>
        <v>-2.77713384950624E-2</v>
      </c>
      <c r="G41" s="10">
        <f t="shared" si="10"/>
        <v>-8.3014273662316803E-4</v>
      </c>
      <c r="H41" s="2">
        <f t="shared" si="11"/>
        <v>-0.83324898495900701</v>
      </c>
    </row>
    <row r="43" spans="1:8" x14ac:dyDescent="0.35">
      <c r="A43" s="14">
        <v>46167</v>
      </c>
      <c r="C43" s="11">
        <f>SUM(C32:C41)</f>
        <v>1955979.9021790626</v>
      </c>
      <c r="G43" s="12" t="s">
        <v>18</v>
      </c>
      <c r="H43" s="19">
        <f>SUM(H32:H41)</f>
        <v>-3.3557295995329421</v>
      </c>
    </row>
    <row r="44" spans="1:8" x14ac:dyDescent="0.35">
      <c r="G44" s="12" t="s">
        <v>19</v>
      </c>
      <c r="H44" s="19">
        <f>H29+H43</f>
        <v>1000.3860947865653</v>
      </c>
    </row>
    <row r="45" spans="1:8" x14ac:dyDescent="0.35">
      <c r="A45" s="8"/>
      <c r="B45" s="8"/>
      <c r="C45" s="8"/>
      <c r="D45" s="8"/>
      <c r="E45" s="8"/>
      <c r="F45" s="8"/>
      <c r="G45" s="8"/>
      <c r="H45" s="8"/>
    </row>
    <row r="47" spans="1:8" x14ac:dyDescent="0.35">
      <c r="A47" t="s">
        <v>8</v>
      </c>
      <c r="B47">
        <v>301.64999999999998</v>
      </c>
      <c r="C47" s="9">
        <f>B47*E47</f>
        <v>377399.83954619122</v>
      </c>
      <c r="D47" s="6">
        <f>C47/$C$58</f>
        <v>0.19238424342898763</v>
      </c>
      <c r="E47" s="2">
        <v>1251.1183144246354</v>
      </c>
      <c r="F47" s="6">
        <f>(B47-B32)/B32</f>
        <v>-7.5670340516532705E-3</v>
      </c>
      <c r="G47" s="10">
        <f>D32*F47</f>
        <v>-1.4711665083935229E-3</v>
      </c>
      <c r="H47" s="2">
        <f>G47*$H$44</f>
        <v>-1.4717345181125832</v>
      </c>
    </row>
    <row r="48" spans="1:8" x14ac:dyDescent="0.35">
      <c r="A48" t="s">
        <v>9</v>
      </c>
      <c r="B48">
        <v>2209.4</v>
      </c>
      <c r="C48" s="9">
        <f t="shared" ref="C48:C56" si="12">B48*E48</f>
        <v>519117.7443781551</v>
      </c>
      <c r="D48" s="6">
        <f t="shared" ref="D48:D56" si="13">C48/$C$58</f>
        <v>0.2646267010151459</v>
      </c>
      <c r="E48" s="2">
        <v>234.95869664983937</v>
      </c>
      <c r="F48" s="6">
        <f t="shared" ref="F48:F56" si="14">(B48-B33)/B33</f>
        <v>5.8729797404962853E-3</v>
      </c>
      <c r="G48" s="10">
        <f t="shared" ref="G48:G56" si="15">D33*F48</f>
        <v>1.54959014834779E-3</v>
      </c>
      <c r="H48" s="2">
        <f t="shared" ref="H48:H56" si="16">G48*$H$44</f>
        <v>1.55018843702538</v>
      </c>
    </row>
    <row r="49" spans="1:10" x14ac:dyDescent="0.35">
      <c r="A49" t="s">
        <v>10</v>
      </c>
      <c r="B49">
        <v>1428.6</v>
      </c>
      <c r="C49" s="9">
        <f t="shared" si="12"/>
        <v>275478.56821898324</v>
      </c>
      <c r="D49" s="6">
        <f t="shared" si="13"/>
        <v>0.14042861277163654</v>
      </c>
      <c r="E49" s="2">
        <v>192.83114113046568</v>
      </c>
      <c r="F49" s="6">
        <f t="shared" si="14"/>
        <v>1.0611205432937183E-2</v>
      </c>
      <c r="G49" s="10">
        <f t="shared" si="15"/>
        <v>1.4787816141334724E-3</v>
      </c>
      <c r="H49" s="2">
        <f t="shared" si="16"/>
        <v>1.4793525640051579</v>
      </c>
    </row>
    <row r="50" spans="1:10" x14ac:dyDescent="0.35">
      <c r="A50" t="s">
        <v>11</v>
      </c>
      <c r="B50">
        <v>1187.5999999999999</v>
      </c>
      <c r="C50" s="9">
        <f t="shared" si="12"/>
        <v>117520.61829441793</v>
      </c>
      <c r="D50" s="6">
        <f t="shared" si="13"/>
        <v>5.9907591018228915E-2</v>
      </c>
      <c r="E50" s="2">
        <v>98.956398024939318</v>
      </c>
      <c r="F50" s="6">
        <f t="shared" si="14"/>
        <v>3.3692722371956164E-4</v>
      </c>
      <c r="G50" s="10">
        <f t="shared" si="15"/>
        <v>2.0236690144855382E-5</v>
      </c>
      <c r="H50" s="2">
        <f t="shared" si="16"/>
        <v>2.024450342541765E-2</v>
      </c>
      <c r="J50" t="s">
        <v>36</v>
      </c>
    </row>
    <row r="51" spans="1:10" x14ac:dyDescent="0.35">
      <c r="A51" t="s">
        <v>12</v>
      </c>
      <c r="B51">
        <v>531.29999999999995</v>
      </c>
      <c r="C51" s="9">
        <f t="shared" si="12"/>
        <v>179700.71443685677</v>
      </c>
      <c r="D51" s="6">
        <f t="shared" si="13"/>
        <v>9.1604665312402481E-2</v>
      </c>
      <c r="E51" s="2">
        <v>338.22833509666248</v>
      </c>
      <c r="F51" s="6">
        <f t="shared" si="14"/>
        <v>1.1305822498585058E-3</v>
      </c>
      <c r="G51" s="10">
        <f t="shared" si="15"/>
        <v>1.0375208908429194E-4</v>
      </c>
      <c r="H51" s="2">
        <f t="shared" si="16"/>
        <v>0.10379214722498264</v>
      </c>
    </row>
    <row r="52" spans="1:10" x14ac:dyDescent="0.35">
      <c r="A52" t="s">
        <v>13</v>
      </c>
      <c r="B52">
        <v>5338</v>
      </c>
      <c r="C52" s="9">
        <f t="shared" si="12"/>
        <v>128575.43408963059</v>
      </c>
      <c r="D52" s="6">
        <f t="shared" si="13"/>
        <v>6.5542920316636069E-2</v>
      </c>
      <c r="E52" s="2">
        <v>24.086817926120382</v>
      </c>
      <c r="F52" s="6">
        <f t="shared" si="14"/>
        <v>2.064952130655153E-3</v>
      </c>
      <c r="G52" s="10">
        <f t="shared" si="15"/>
        <v>1.3545895685950076E-4</v>
      </c>
      <c r="H52" s="2">
        <f t="shared" si="16"/>
        <v>0.13551125685653778</v>
      </c>
    </row>
    <row r="53" spans="1:10" x14ac:dyDescent="0.35">
      <c r="A53" t="s">
        <v>14</v>
      </c>
      <c r="B53">
        <v>1031.8</v>
      </c>
      <c r="C53" s="9">
        <f t="shared" si="12"/>
        <v>105577.69507519907</v>
      </c>
      <c r="D53" s="6">
        <f t="shared" si="13"/>
        <v>5.3819537958580764E-2</v>
      </c>
      <c r="E53" s="2">
        <v>102.3237982895901</v>
      </c>
      <c r="F53" s="6">
        <f t="shared" si="14"/>
        <v>1.1172089376714992E-2</v>
      </c>
      <c r="G53" s="10">
        <f t="shared" si="15"/>
        <v>5.963718232492028E-4</v>
      </c>
      <c r="H53" s="2">
        <f t="shared" si="16"/>
        <v>0.59660207930101372</v>
      </c>
    </row>
    <row r="54" spans="1:10" x14ac:dyDescent="0.35">
      <c r="A54" t="s">
        <v>15</v>
      </c>
      <c r="B54">
        <v>830</v>
      </c>
      <c r="C54" s="9">
        <f t="shared" si="12"/>
        <v>107758.81469014847</v>
      </c>
      <c r="D54" s="6">
        <f t="shared" si="13"/>
        <v>5.4931390701959598E-2</v>
      </c>
      <c r="E54" s="2">
        <v>129.82989721704635</v>
      </c>
      <c r="F54" s="6">
        <f t="shared" si="14"/>
        <v>8.0767595797655647E-3</v>
      </c>
      <c r="G54" s="10">
        <f t="shared" si="15"/>
        <v>4.4139963582014207E-4</v>
      </c>
      <c r="H54" s="2">
        <f t="shared" si="16"/>
        <v>0.44157005791832404</v>
      </c>
    </row>
    <row r="55" spans="1:10" x14ac:dyDescent="0.35">
      <c r="A55" t="s">
        <v>16</v>
      </c>
      <c r="B55">
        <v>1293.4000000000001</v>
      </c>
      <c r="C55" s="9">
        <f t="shared" si="12"/>
        <v>94074.878830740228</v>
      </c>
      <c r="D55" s="6">
        <f t="shared" si="13"/>
        <v>4.7955834881351363E-2</v>
      </c>
      <c r="E55" s="2">
        <v>72.734559170202743</v>
      </c>
      <c r="F55" s="6">
        <f t="shared" si="14"/>
        <v>7.2424266022896831E-3</v>
      </c>
      <c r="G55" s="10">
        <f t="shared" si="15"/>
        <v>3.4582737763783728E-4</v>
      </c>
      <c r="H55" s="2">
        <f t="shared" si="16"/>
        <v>0.34596089978539479</v>
      </c>
    </row>
    <row r="56" spans="1:10" x14ac:dyDescent="0.35">
      <c r="A56" t="s">
        <v>17</v>
      </c>
      <c r="B56">
        <v>2077.1</v>
      </c>
      <c r="C56" s="9">
        <f t="shared" si="12"/>
        <v>56493.973024158156</v>
      </c>
      <c r="D56" s="6">
        <f t="shared" si="13"/>
        <v>2.8798502595070833E-2</v>
      </c>
      <c r="E56" s="2">
        <v>27.198484918471983</v>
      </c>
      <c r="F56" s="6">
        <f t="shared" si="14"/>
        <v>-9.4897472579876449E-3</v>
      </c>
      <c r="G56" s="10">
        <f t="shared" si="15"/>
        <v>-2.7671544542692621E-4</v>
      </c>
      <c r="H56" s="2">
        <f t="shared" si="16"/>
        <v>-0.27682228381776763</v>
      </c>
    </row>
    <row r="58" spans="1:10" x14ac:dyDescent="0.35">
      <c r="A58" s="14">
        <v>46168</v>
      </c>
      <c r="C58" s="11">
        <f>SUM(C47:C56)</f>
        <v>1961698.2805844806</v>
      </c>
      <c r="G58" s="12" t="s">
        <v>18</v>
      </c>
      <c r="H58" s="19">
        <f>SUM(H47:H56)</f>
        <v>2.924665143611858</v>
      </c>
    </row>
    <row r="59" spans="1:10" x14ac:dyDescent="0.35">
      <c r="G59" s="12" t="s">
        <v>19</v>
      </c>
      <c r="H59" s="19">
        <f>H44+H58</f>
        <v>1003.3107599301771</v>
      </c>
    </row>
    <row r="61" spans="1:10" x14ac:dyDescent="0.35">
      <c r="A61" s="8"/>
      <c r="B61" s="8"/>
      <c r="C61" s="8"/>
      <c r="D61" s="8"/>
      <c r="E61" s="8"/>
      <c r="F61" s="8"/>
      <c r="G61" s="8"/>
      <c r="H61" s="8"/>
    </row>
    <row r="63" spans="1:10" x14ac:dyDescent="0.35">
      <c r="A63" t="s">
        <v>8</v>
      </c>
      <c r="B63">
        <v>291.95</v>
      </c>
      <c r="C63" s="9">
        <f>B63*E63</f>
        <v>365263.99189627229</v>
      </c>
      <c r="D63" s="6">
        <f>C63/$C$74</f>
        <v>0.18710427383790937</v>
      </c>
      <c r="E63" s="2">
        <v>1251.1183144246354</v>
      </c>
      <c r="F63" s="6">
        <f>(B63-B47)/B47</f>
        <v>-3.2156472733300148E-2</v>
      </c>
      <c r="G63" s="10">
        <f>D47*F63</f>
        <v>-6.1863986781408187E-3</v>
      </c>
      <c r="H63" s="2">
        <f>G63*$H$59</f>
        <v>-6.206880358996508</v>
      </c>
    </row>
    <row r="64" spans="1:10" x14ac:dyDescent="0.35">
      <c r="A64" t="s">
        <v>9</v>
      </c>
      <c r="B64">
        <v>2198.4</v>
      </c>
      <c r="C64" s="9">
        <f t="shared" ref="C64:C72" si="17">B64*E64</f>
        <v>516533.19871500687</v>
      </c>
      <c r="D64" s="6">
        <f t="shared" ref="D64:D72" si="18">C64/$C$74</f>
        <v>0.26459101144081382</v>
      </c>
      <c r="E64" s="2">
        <v>234.95869664983937</v>
      </c>
      <c r="F64" s="6">
        <f t="shared" ref="F64:F72" si="19">(B64-B48)/B48</f>
        <v>-4.97872725626867E-3</v>
      </c>
      <c r="G64" s="10">
        <f t="shared" ref="G64:G72" si="20">D48*F64</f>
        <v>-1.317504169080567E-3</v>
      </c>
      <c r="H64" s="2">
        <f t="shared" ref="H64:H72" si="21">G64*$H$59</f>
        <v>-1.3218661090914003</v>
      </c>
    </row>
    <row r="65" spans="1:8" x14ac:dyDescent="0.35">
      <c r="A65" t="s">
        <v>10</v>
      </c>
      <c r="B65">
        <v>1427.5</v>
      </c>
      <c r="C65" s="9">
        <f t="shared" si="17"/>
        <v>275266.45396373974</v>
      </c>
      <c r="D65" s="6">
        <f t="shared" si="18"/>
        <v>0.14100357857187251</v>
      </c>
      <c r="E65" s="2">
        <v>192.83114113046568</v>
      </c>
      <c r="F65" s="6">
        <f t="shared" si="19"/>
        <v>-7.6998460030793024E-4</v>
      </c>
      <c r="G65" s="10">
        <f t="shared" si="20"/>
        <v>-1.0812786927676567E-4</v>
      </c>
      <c r="H65" s="2">
        <f t="shared" si="21"/>
        <v>-0.10848585469370262</v>
      </c>
    </row>
    <row r="66" spans="1:8" x14ac:dyDescent="0.35">
      <c r="A66" t="s">
        <v>11</v>
      </c>
      <c r="B66">
        <v>1204.5999999999999</v>
      </c>
      <c r="C66" s="9">
        <f t="shared" si="17"/>
        <v>119202.8770608419</v>
      </c>
      <c r="D66" s="6">
        <f t="shared" si="18"/>
        <v>6.106095384894146E-2</v>
      </c>
      <c r="E66" s="2">
        <v>98.956398024939318</v>
      </c>
      <c r="F66" s="6">
        <f t="shared" si="19"/>
        <v>1.4314584035028631E-2</v>
      </c>
      <c r="G66" s="10">
        <f t="shared" si="20"/>
        <v>8.5755224596656421E-4</v>
      </c>
      <c r="H66" s="2">
        <f t="shared" si="21"/>
        <v>0.86039139558054367</v>
      </c>
    </row>
    <row r="67" spans="1:8" x14ac:dyDescent="0.35">
      <c r="A67" t="s">
        <v>12</v>
      </c>
      <c r="B67">
        <v>534.5</v>
      </c>
      <c r="C67" s="9">
        <f t="shared" si="17"/>
        <v>180783.04510916609</v>
      </c>
      <c r="D67" s="6">
        <f t="shared" si="18"/>
        <v>9.26050230184262E-2</v>
      </c>
      <c r="E67" s="2">
        <v>338.22833509666248</v>
      </c>
      <c r="F67" s="6">
        <f t="shared" si="19"/>
        <v>6.0229625447017609E-3</v>
      </c>
      <c r="G67" s="10">
        <f t="shared" si="20"/>
        <v>5.5173146809654077E-4</v>
      </c>
      <c r="H67" s="2">
        <f t="shared" si="21"/>
        <v>0.55355811853333259</v>
      </c>
    </row>
    <row r="68" spans="1:8" x14ac:dyDescent="0.35">
      <c r="A68" t="s">
        <v>13</v>
      </c>
      <c r="B68">
        <v>5335.5</v>
      </c>
      <c r="C68" s="9">
        <f t="shared" si="17"/>
        <v>128515.2170448153</v>
      </c>
      <c r="D68" s="6">
        <f t="shared" si="18"/>
        <v>6.5831143763878039E-2</v>
      </c>
      <c r="E68" s="2">
        <v>24.086817926120382</v>
      </c>
      <c r="F68" s="6">
        <f t="shared" si="19"/>
        <v>-4.6834020232296739E-4</v>
      </c>
      <c r="G68" s="10">
        <f t="shared" si="20"/>
        <v>-3.0696384561931465E-5</v>
      </c>
      <c r="H68" s="2">
        <f t="shared" si="21"/>
        <v>-3.0798012921940416E-2</v>
      </c>
    </row>
    <row r="69" spans="1:8" x14ac:dyDescent="0.35">
      <c r="A69" t="s">
        <v>14</v>
      </c>
      <c r="B69">
        <v>1044.4000000000001</v>
      </c>
      <c r="C69" s="9">
        <f t="shared" si="17"/>
        <v>106866.97493364791</v>
      </c>
      <c r="D69" s="6">
        <f t="shared" si="18"/>
        <v>5.4741962486936066E-2</v>
      </c>
      <c r="E69" s="2">
        <v>102.3237982895901</v>
      </c>
      <c r="F69" s="6">
        <f t="shared" si="19"/>
        <v>1.2211668928086972E-2</v>
      </c>
      <c r="G69" s="10">
        <f t="shared" si="20"/>
        <v>6.5722637941279807E-4</v>
      </c>
      <c r="H69" s="2">
        <f t="shared" si="21"/>
        <v>0.65940229817481333</v>
      </c>
    </row>
    <row r="70" spans="1:8" x14ac:dyDescent="0.35">
      <c r="A70" t="s">
        <v>15</v>
      </c>
      <c r="B70">
        <v>833.8</v>
      </c>
      <c r="C70" s="9">
        <f t="shared" si="17"/>
        <v>108252.16829957324</v>
      </c>
      <c r="D70" s="6">
        <f t="shared" si="18"/>
        <v>5.5451519422759478E-2</v>
      </c>
      <c r="E70" s="2">
        <v>129.82989721704635</v>
      </c>
      <c r="F70" s="6">
        <f t="shared" si="19"/>
        <v>4.5783132530119938E-3</v>
      </c>
      <c r="G70" s="10">
        <f t="shared" si="20"/>
        <v>2.5149311405716143E-4</v>
      </c>
      <c r="H70" s="2">
        <f t="shared" si="21"/>
        <v>0.25232574738189734</v>
      </c>
    </row>
    <row r="71" spans="1:8" x14ac:dyDescent="0.35">
      <c r="A71" t="s">
        <v>16</v>
      </c>
      <c r="B71">
        <v>1302.5</v>
      </c>
      <c r="C71" s="9">
        <f t="shared" si="17"/>
        <v>94736.763319189078</v>
      </c>
      <c r="D71" s="6">
        <f t="shared" si="18"/>
        <v>4.8528334847811924E-2</v>
      </c>
      <c r="E71" s="2">
        <v>72.734559170202743</v>
      </c>
      <c r="F71" s="6">
        <f t="shared" si="19"/>
        <v>7.0357198082572356E-3</v>
      </c>
      <c r="G71" s="10">
        <f t="shared" si="20"/>
        <v>3.3740381739623708E-4</v>
      </c>
      <c r="H71" s="2">
        <f t="shared" si="21"/>
        <v>0.33852088043516132</v>
      </c>
    </row>
    <row r="72" spans="1:8" x14ac:dyDescent="0.35">
      <c r="A72" t="s">
        <v>17</v>
      </c>
      <c r="B72">
        <v>2087.4</v>
      </c>
      <c r="C72" s="9">
        <f t="shared" si="17"/>
        <v>56774.117418818423</v>
      </c>
      <c r="D72" s="6">
        <f t="shared" si="18"/>
        <v>2.9082198760651046E-2</v>
      </c>
      <c r="E72" s="2">
        <v>27.198484918471983</v>
      </c>
      <c r="F72" s="6">
        <f t="shared" si="19"/>
        <v>4.9588368398248437E-3</v>
      </c>
      <c r="G72" s="10">
        <f t="shared" si="20"/>
        <v>1.4280707560022861E-4</v>
      </c>
      <c r="H72" s="2">
        <f t="shared" si="21"/>
        <v>0.14327987554387162</v>
      </c>
    </row>
    <row r="74" spans="1:8" x14ac:dyDescent="0.35">
      <c r="A74" s="14">
        <v>46169</v>
      </c>
      <c r="C74" s="11">
        <f>SUM(C63:C72)</f>
        <v>1952194.807761071</v>
      </c>
      <c r="G74" s="12" t="s">
        <v>18</v>
      </c>
      <c r="H74" s="19">
        <f>SUM(H63:H72)</f>
        <v>-4.8605520200539312</v>
      </c>
    </row>
    <row r="75" spans="1:8" x14ac:dyDescent="0.35">
      <c r="G75" s="12" t="s">
        <v>19</v>
      </c>
      <c r="H75" s="19">
        <f>H59+H74</f>
        <v>998.45020791012325</v>
      </c>
    </row>
    <row r="76" spans="1:8" x14ac:dyDescent="0.35">
      <c r="A76" s="8"/>
      <c r="B76" s="8"/>
      <c r="C76" s="8"/>
      <c r="D76" s="8"/>
      <c r="E76" s="8"/>
      <c r="F76" s="8"/>
      <c r="G76" s="8"/>
      <c r="H76" s="8"/>
    </row>
    <row r="78" spans="1:8" x14ac:dyDescent="0.35">
      <c r="A78" t="s">
        <v>8</v>
      </c>
      <c r="B78">
        <v>286.89999999999998</v>
      </c>
      <c r="C78" s="9">
        <f>B78*E78</f>
        <v>358945.84440842789</v>
      </c>
      <c r="D78" s="6">
        <f>C78/$C$89</f>
        <v>0.1869513841547637</v>
      </c>
      <c r="E78" s="2">
        <v>1251.1183144246354</v>
      </c>
      <c r="F78" s="6">
        <f>(B78-B63)/B63</f>
        <v>-1.729748244562429E-2</v>
      </c>
      <c r="G78" s="10">
        <f>D63*F78</f>
        <v>-3.2364328922125174E-3</v>
      </c>
      <c r="H78" s="2">
        <f>G78*$H$75</f>
        <v>-3.2314170941167495</v>
      </c>
    </row>
    <row r="79" spans="1:8" x14ac:dyDescent="0.35">
      <c r="A79" t="s">
        <v>9</v>
      </c>
      <c r="B79">
        <v>2153.5</v>
      </c>
      <c r="C79" s="9">
        <f t="shared" ref="C79:C87" si="22">B79*E79</f>
        <v>505983.55323542911</v>
      </c>
      <c r="D79" s="6">
        <f t="shared" ref="D79:D87" si="23">C79/$C$89</f>
        <v>0.26353369766073825</v>
      </c>
      <c r="E79" s="2">
        <v>234.95869664983937</v>
      </c>
      <c r="F79" s="6">
        <f t="shared" ref="F79:F87" si="24">(B79-B64)/B64</f>
        <v>-2.0423944687045163E-2</v>
      </c>
      <c r="G79" s="10">
        <f t="shared" ref="G79:G87" si="25">D64*F79</f>
        <v>-5.4039921823565151E-3</v>
      </c>
      <c r="H79" s="2">
        <f t="shared" ref="H79:H87" si="26">G79*$H$75</f>
        <v>-5.395617118018543</v>
      </c>
    </row>
    <row r="80" spans="1:8" x14ac:dyDescent="0.35">
      <c r="A80" t="s">
        <v>10</v>
      </c>
      <c r="B80">
        <v>1421.5</v>
      </c>
      <c r="C80" s="9">
        <f t="shared" si="22"/>
        <v>274109.46711695695</v>
      </c>
      <c r="D80" s="6">
        <f t="shared" si="23"/>
        <v>0.14276567088245853</v>
      </c>
      <c r="E80" s="2">
        <v>192.83114113046568</v>
      </c>
      <c r="F80" s="6">
        <f t="shared" si="24"/>
        <v>-4.2031523642732053E-3</v>
      </c>
      <c r="G80" s="10">
        <f t="shared" si="25"/>
        <v>-5.9265952464534859E-4</v>
      </c>
      <c r="H80" s="2">
        <f t="shared" si="26"/>
        <v>-0.5917410256020631</v>
      </c>
    </row>
    <row r="81" spans="1:8" x14ac:dyDescent="0.35">
      <c r="A81" t="s">
        <v>11</v>
      </c>
      <c r="B81">
        <v>1178.4000000000001</v>
      </c>
      <c r="C81" s="9">
        <f t="shared" si="22"/>
        <v>116610.21943258851</v>
      </c>
      <c r="D81" s="6">
        <f t="shared" si="23"/>
        <v>6.0734626877884758E-2</v>
      </c>
      <c r="E81" s="2">
        <v>98.956398024939318</v>
      </c>
      <c r="F81" s="6">
        <f t="shared" si="24"/>
        <v>-2.1749958492445477E-2</v>
      </c>
      <c r="G81" s="10">
        <f t="shared" si="25"/>
        <v>-1.3280732117236056E-3</v>
      </c>
      <c r="H81" s="2">
        <f t="shared" si="26"/>
        <v>-1.3260149743652991</v>
      </c>
    </row>
    <row r="82" spans="1:8" x14ac:dyDescent="0.35">
      <c r="A82" t="s">
        <v>12</v>
      </c>
      <c r="B82">
        <v>528</v>
      </c>
      <c r="C82" s="9">
        <f t="shared" si="22"/>
        <v>178584.56093103779</v>
      </c>
      <c r="D82" s="6">
        <f t="shared" si="23"/>
        <v>9.3013002866078998E-2</v>
      </c>
      <c r="E82" s="2">
        <v>338.22833509666248</v>
      </c>
      <c r="F82" s="6">
        <f t="shared" si="24"/>
        <v>-1.216089803554724E-2</v>
      </c>
      <c r="G82" s="10">
        <f t="shared" si="25"/>
        <v>-1.1261602425065862E-3</v>
      </c>
      <c r="H82" s="2">
        <f t="shared" si="26"/>
        <v>-1.1244149282708158</v>
      </c>
    </row>
    <row r="83" spans="1:8" x14ac:dyDescent="0.35">
      <c r="A83" t="s">
        <v>13</v>
      </c>
      <c r="B83">
        <v>5204.5</v>
      </c>
      <c r="C83" s="9">
        <f t="shared" si="22"/>
        <v>125359.84389649353</v>
      </c>
      <c r="D83" s="6">
        <f t="shared" si="23"/>
        <v>6.5291733276643282E-2</v>
      </c>
      <c r="E83" s="2">
        <v>24.086817926120382</v>
      </c>
      <c r="F83" s="6">
        <f t="shared" si="24"/>
        <v>-2.4552525536500797E-2</v>
      </c>
      <c r="G83" s="10">
        <f t="shared" si="25"/>
        <v>-1.6163208383596708E-3</v>
      </c>
      <c r="H83" s="2">
        <f t="shared" si="26"/>
        <v>-1.613815877109678</v>
      </c>
    </row>
    <row r="84" spans="1:8" x14ac:dyDescent="0.35">
      <c r="A84" t="s">
        <v>14</v>
      </c>
      <c r="B84">
        <v>1029.3</v>
      </c>
      <c r="C84" s="9">
        <f t="shared" si="22"/>
        <v>105321.88557947509</v>
      </c>
      <c r="D84" s="6">
        <f t="shared" si="23"/>
        <v>5.4855273010120408E-2</v>
      </c>
      <c r="E84" s="2">
        <v>102.3237982895901</v>
      </c>
      <c r="F84" s="6">
        <f t="shared" si="24"/>
        <v>-1.4458062045193542E-2</v>
      </c>
      <c r="G84" s="10">
        <f t="shared" si="25"/>
        <v>-7.9146269011177908E-4</v>
      </c>
      <c r="H84" s="2">
        <f t="shared" si="26"/>
        <v>-0.79023608749521124</v>
      </c>
    </row>
    <row r="85" spans="1:8" x14ac:dyDescent="0.35">
      <c r="A85" t="s">
        <v>15</v>
      </c>
      <c r="B85">
        <v>821.7</v>
      </c>
      <c r="C85" s="9">
        <f t="shared" si="22"/>
        <v>106681.22654324699</v>
      </c>
      <c r="D85" s="6">
        <f t="shared" si="23"/>
        <v>5.5563264699324259E-2</v>
      </c>
      <c r="E85" s="2">
        <v>129.82989721704635</v>
      </c>
      <c r="F85" s="6">
        <f t="shared" si="24"/>
        <v>-1.4511873350923375E-2</v>
      </c>
      <c r="G85" s="10">
        <f t="shared" si="25"/>
        <v>-8.047054269793532E-4</v>
      </c>
      <c r="H85" s="2">
        <f t="shared" si="26"/>
        <v>-0.80345830087393966</v>
      </c>
    </row>
    <row r="86" spans="1:8" x14ac:dyDescent="0.35">
      <c r="A86" t="s">
        <v>16</v>
      </c>
      <c r="B86">
        <v>1270</v>
      </c>
      <c r="C86" s="9">
        <f t="shared" si="22"/>
        <v>92372.890146157486</v>
      </c>
      <c r="D86" s="6">
        <f t="shared" si="23"/>
        <v>4.8110989276561184E-2</v>
      </c>
      <c r="E86" s="2">
        <v>72.734559170202743</v>
      </c>
      <c r="F86" s="6">
        <f t="shared" si="24"/>
        <v>-2.4952015355086371E-2</v>
      </c>
      <c r="G86" s="10">
        <f t="shared" si="25"/>
        <v>-1.2108797562793761E-3</v>
      </c>
      <c r="H86" s="2">
        <f t="shared" si="26"/>
        <v>-1.2090031444113025</v>
      </c>
    </row>
    <row r="87" spans="1:8" x14ac:dyDescent="0.35">
      <c r="A87" t="s">
        <v>17</v>
      </c>
      <c r="B87">
        <v>2059.9</v>
      </c>
      <c r="C87" s="9">
        <f t="shared" si="22"/>
        <v>56026.159083560444</v>
      </c>
      <c r="D87" s="6">
        <f t="shared" si="23"/>
        <v>2.9180357295426829E-2</v>
      </c>
      <c r="E87" s="2">
        <v>27.198484918471983</v>
      </c>
      <c r="F87" s="6">
        <f t="shared" si="24"/>
        <v>-1.3174283798026253E-2</v>
      </c>
      <c r="G87" s="10">
        <f t="shared" si="25"/>
        <v>-3.8313713994342423E-4</v>
      </c>
      <c r="H87" s="2">
        <f t="shared" si="26"/>
        <v>-0.38254335703460191</v>
      </c>
    </row>
    <row r="89" spans="1:8" x14ac:dyDescent="0.35">
      <c r="A89" s="14">
        <v>46171</v>
      </c>
      <c r="C89" s="11">
        <f>SUM(C78:C87)</f>
        <v>1919995.6503733734</v>
      </c>
      <c r="G89" s="12" t="s">
        <v>18</v>
      </c>
      <c r="H89" s="19">
        <f>SUM(H78:H87)</f>
        <v>-16.468261907298206</v>
      </c>
    </row>
    <row r="90" spans="1:8" x14ac:dyDescent="0.35">
      <c r="G90" s="12" t="s">
        <v>19</v>
      </c>
      <c r="H90" s="19">
        <f>H75+H89</f>
        <v>981.981946002825</v>
      </c>
    </row>
    <row r="92" spans="1:8" x14ac:dyDescent="0.35">
      <c r="A92" s="8"/>
      <c r="B92" s="8"/>
      <c r="C92" s="8"/>
      <c r="D92" s="8"/>
      <c r="E92" s="8"/>
      <c r="F92" s="8"/>
      <c r="G92" s="8"/>
      <c r="H92" s="8"/>
    </row>
    <row r="94" spans="1:8" x14ac:dyDescent="0.35">
      <c r="A94" t="s">
        <v>8</v>
      </c>
      <c r="B94">
        <v>279.64999999999998</v>
      </c>
      <c r="C94" s="9">
        <f>B94*E94</f>
        <v>349875.23662884923</v>
      </c>
      <c r="D94" s="6">
        <f>C94/$C$89</f>
        <v>0.18222709856702565</v>
      </c>
      <c r="E94" s="2">
        <v>1251.1183144246354</v>
      </c>
      <c r="F94" s="6">
        <f>(B94-B78)/B78</f>
        <v>-2.5270128964796097E-2</v>
      </c>
      <c r="G94" s="10">
        <f>D78*F94</f>
        <v>-4.7242855877380162E-3</v>
      </c>
      <c r="H94" s="2">
        <f>G94*$H$90</f>
        <v>-4.6391631549200767</v>
      </c>
    </row>
    <row r="95" spans="1:8" x14ac:dyDescent="0.35">
      <c r="A95" t="s">
        <v>9</v>
      </c>
      <c r="B95">
        <v>2084.3000000000002</v>
      </c>
      <c r="C95" s="9">
        <f t="shared" ref="C95:C103" si="27">B95*E95</f>
        <v>489724.41142726026</v>
      </c>
      <c r="D95" s="6">
        <f t="shared" ref="D95:D103" si="28">C95/$C$89</f>
        <v>0.25506537545125463</v>
      </c>
      <c r="E95" s="2">
        <v>234.95869664983937</v>
      </c>
      <c r="F95" s="6">
        <f t="shared" ref="F95:F103" si="29">(B95-B79)/B79</f>
        <v>-3.213373577896439E-2</v>
      </c>
      <c r="G95" s="10">
        <f t="shared" ref="G95:G103" si="30">D79*F95</f>
        <v>-8.4683222094836495E-3</v>
      </c>
      <c r="H95" s="2">
        <f t="shared" ref="H95:H103" si="31">G95*$H$90</f>
        <v>-8.3157395226476964</v>
      </c>
    </row>
    <row r="96" spans="1:8" x14ac:dyDescent="0.35">
      <c r="A96" t="s">
        <v>10</v>
      </c>
      <c r="B96">
        <v>1391.8</v>
      </c>
      <c r="C96" s="9">
        <f t="shared" si="27"/>
        <v>268382.38222538214</v>
      </c>
      <c r="D96" s="6">
        <f t="shared" si="28"/>
        <v>0.13978280741062665</v>
      </c>
      <c r="E96" s="2">
        <v>192.83114113046568</v>
      </c>
      <c r="F96" s="6">
        <f t="shared" si="29"/>
        <v>-2.0893422441083394E-2</v>
      </c>
      <c r="G96" s="10">
        <f t="shared" si="30"/>
        <v>-2.9828634718318853E-3</v>
      </c>
      <c r="H96" s="2">
        <f t="shared" si="31"/>
        <v>-2.9291180767302176</v>
      </c>
    </row>
    <row r="97" spans="1:8" x14ac:dyDescent="0.35">
      <c r="A97" t="s">
        <v>11</v>
      </c>
      <c r="B97">
        <v>1143.3</v>
      </c>
      <c r="C97" s="9">
        <f t="shared" si="27"/>
        <v>113136.84986191311</v>
      </c>
      <c r="D97" s="6">
        <f t="shared" si="28"/>
        <v>5.8925576128212517E-2</v>
      </c>
      <c r="E97" s="2">
        <v>98.956398024939318</v>
      </c>
      <c r="F97" s="6">
        <f t="shared" si="29"/>
        <v>-2.9786150712831069E-2</v>
      </c>
      <c r="G97" s="10">
        <f t="shared" si="30"/>
        <v>-1.8090507496722362E-3</v>
      </c>
      <c r="H97" s="2">
        <f t="shared" si="31"/>
        <v>-1.7764551755810118</v>
      </c>
    </row>
    <row r="98" spans="1:8" x14ac:dyDescent="0.35">
      <c r="A98" t="s">
        <v>12</v>
      </c>
      <c r="B98">
        <v>525.5</v>
      </c>
      <c r="C98" s="9">
        <f t="shared" si="27"/>
        <v>177738.99009329613</v>
      </c>
      <c r="D98" s="6">
        <f t="shared" si="28"/>
        <v>9.2572600390387338E-2</v>
      </c>
      <c r="E98" s="2">
        <v>338.22833509666248</v>
      </c>
      <c r="F98" s="6">
        <f t="shared" si="29"/>
        <v>-4.734848484848485E-3</v>
      </c>
      <c r="G98" s="10">
        <f t="shared" si="30"/>
        <v>-4.4040247569166195E-4</v>
      </c>
      <c r="H98" s="2">
        <f t="shared" si="31"/>
        <v>-0.43246728010416002</v>
      </c>
    </row>
    <row r="99" spans="1:8" x14ac:dyDescent="0.35">
      <c r="A99" t="s">
        <v>13</v>
      </c>
      <c r="B99">
        <v>5157.5</v>
      </c>
      <c r="C99" s="9">
        <f t="shared" si="27"/>
        <v>124227.76345396588</v>
      </c>
      <c r="D99" s="6">
        <f t="shared" si="28"/>
        <v>6.4702106710402094E-2</v>
      </c>
      <c r="E99" s="2">
        <v>24.086817926120382</v>
      </c>
      <c r="F99" s="6">
        <f t="shared" si="29"/>
        <v>-9.0306465558651159E-3</v>
      </c>
      <c r="G99" s="10">
        <f t="shared" si="30"/>
        <v>-5.8962656624118241E-4</v>
      </c>
      <c r="H99" s="2">
        <f t="shared" si="31"/>
        <v>-0.57900264293247994</v>
      </c>
    </row>
    <row r="100" spans="1:8" x14ac:dyDescent="0.35">
      <c r="A100" t="s">
        <v>14</v>
      </c>
      <c r="B100">
        <v>1009</v>
      </c>
      <c r="C100" s="9">
        <f t="shared" si="27"/>
        <v>103244.71247419641</v>
      </c>
      <c r="D100" s="6">
        <f t="shared" si="28"/>
        <v>5.3773409566901284E-2</v>
      </c>
      <c r="E100" s="2">
        <v>102.3237982895901</v>
      </c>
      <c r="F100" s="6">
        <f t="shared" si="29"/>
        <v>-1.9722141261051155E-2</v>
      </c>
      <c r="G100" s="10">
        <f t="shared" si="30"/>
        <v>-1.0818634432191215E-3</v>
      </c>
      <c r="H100" s="2">
        <f t="shared" si="31"/>
        <v>-1.0623703692816298</v>
      </c>
    </row>
    <row r="101" spans="1:8" x14ac:dyDescent="0.35">
      <c r="A101" t="s">
        <v>15</v>
      </c>
      <c r="B101">
        <v>805.7</v>
      </c>
      <c r="C101" s="9">
        <f t="shared" si="27"/>
        <v>104603.94818777425</v>
      </c>
      <c r="D101" s="6">
        <f t="shared" si="28"/>
        <v>5.4481346438171548E-2</v>
      </c>
      <c r="E101" s="2">
        <v>129.82989721704635</v>
      </c>
      <c r="F101" s="6">
        <f t="shared" si="29"/>
        <v>-1.9471826700742361E-2</v>
      </c>
      <c r="G101" s="10">
        <f t="shared" si="30"/>
        <v>-1.0819182611527176E-3</v>
      </c>
      <c r="H101" s="2">
        <f t="shared" si="31"/>
        <v>-1.0624241995027381</v>
      </c>
    </row>
    <row r="102" spans="1:8" x14ac:dyDescent="0.35">
      <c r="A102" t="s">
        <v>16</v>
      </c>
      <c r="B102">
        <v>1248.8</v>
      </c>
      <c r="C102" s="9">
        <f t="shared" si="27"/>
        <v>90830.917491749176</v>
      </c>
      <c r="D102" s="6">
        <f t="shared" si="28"/>
        <v>4.7307876699661106E-2</v>
      </c>
      <c r="E102" s="2">
        <v>72.734559170202743</v>
      </c>
      <c r="F102" s="6">
        <f t="shared" si="29"/>
        <v>-1.6692913385826808E-2</v>
      </c>
      <c r="G102" s="10">
        <f t="shared" si="30"/>
        <v>-8.031125769000782E-4</v>
      </c>
      <c r="H102" s="2">
        <f t="shared" si="31"/>
        <v>-0.78864205112368224</v>
      </c>
    </row>
    <row r="103" spans="1:8" x14ac:dyDescent="0.35">
      <c r="A103" t="s">
        <v>17</v>
      </c>
      <c r="B103">
        <v>1990.1</v>
      </c>
      <c r="C103" s="9">
        <f t="shared" si="27"/>
        <v>54127.70483625109</v>
      </c>
      <c r="D103" s="6">
        <f t="shared" si="28"/>
        <v>2.819157680160635E-2</v>
      </c>
      <c r="E103" s="2">
        <v>27.198484918471983</v>
      </c>
      <c r="F103" s="6">
        <f t="shared" si="29"/>
        <v>-3.3885140055342579E-2</v>
      </c>
      <c r="G103" s="10">
        <f t="shared" si="30"/>
        <v>-9.887804938204757E-4</v>
      </c>
      <c r="H103" s="2">
        <f t="shared" si="31"/>
        <v>-0.97096459349146502</v>
      </c>
    </row>
    <row r="105" spans="1:8" x14ac:dyDescent="0.35">
      <c r="A105" s="14">
        <v>46174</v>
      </c>
      <c r="C105" s="11">
        <f>SUM(C94:C103)</f>
        <v>1875892.9166806375</v>
      </c>
      <c r="G105" s="12" t="s">
        <v>18</v>
      </c>
      <c r="H105" s="19">
        <f>SUM(H94:H103)</f>
        <v>-22.556347066315158</v>
      </c>
    </row>
    <row r="106" spans="1:8" x14ac:dyDescent="0.35">
      <c r="G106" s="12" t="s">
        <v>19</v>
      </c>
      <c r="H106" s="19">
        <f>H105+H90</f>
        <v>959.4255989365098</v>
      </c>
    </row>
    <row r="108" spans="1:8" x14ac:dyDescent="0.35">
      <c r="A108" s="8"/>
      <c r="B108" s="8"/>
      <c r="C108" s="8"/>
      <c r="D108" s="8"/>
      <c r="E108" s="8"/>
      <c r="F108" s="8"/>
      <c r="G108" s="8"/>
      <c r="H108" s="8"/>
    </row>
    <row r="110" spans="1:8" x14ac:dyDescent="0.35">
      <c r="A110" t="s">
        <v>8</v>
      </c>
      <c r="B110">
        <v>283.25</v>
      </c>
      <c r="C110" s="9">
        <f>B110*E110</f>
        <v>354379.26256077795</v>
      </c>
      <c r="D110" s="6">
        <f>C110/$C$121</f>
        <v>0.18752317303440888</v>
      </c>
      <c r="E110" s="2">
        <v>1251.1183144246354</v>
      </c>
      <c r="F110" s="6">
        <f>(B110-B94)/B94</f>
        <v>1.2873234400143119E-2</v>
      </c>
      <c r="G110" s="10">
        <f>D94*F110</f>
        <v>2.3458521539113054E-3</v>
      </c>
      <c r="H110" s="2">
        <f>G110*$H$106</f>
        <v>2.2506706077828555</v>
      </c>
    </row>
    <row r="111" spans="1:8" x14ac:dyDescent="0.35">
      <c r="A111" t="s">
        <v>9</v>
      </c>
      <c r="B111">
        <v>2093.6999999999998</v>
      </c>
      <c r="C111" s="9">
        <f t="shared" ref="C111:C119" si="32">B111*E111</f>
        <v>491933.02317576867</v>
      </c>
      <c r="D111" s="6">
        <f t="shared" ref="D111:D119" si="33">C111/$C$121</f>
        <v>0.26031105985076752</v>
      </c>
      <c r="E111" s="2">
        <v>234.95869664983937</v>
      </c>
      <c r="F111" s="6">
        <f t="shared" ref="F111:F119" si="34">(B111-B95)/B95</f>
        <v>4.5099074029648495E-3</v>
      </c>
      <c r="G111" s="10">
        <f t="shared" ref="G111:G119" si="35">D95*F111</f>
        <v>1.150321224987622E-3</v>
      </c>
      <c r="H111" s="2">
        <f t="shared" ref="H111:H119" si="36">G111*$H$106</f>
        <v>1.1036476302531288</v>
      </c>
    </row>
    <row r="112" spans="1:8" x14ac:dyDescent="0.35">
      <c r="A112" t="s">
        <v>10</v>
      </c>
      <c r="B112">
        <v>1398.7</v>
      </c>
      <c r="C112" s="9">
        <f t="shared" si="32"/>
        <v>269712.91709918238</v>
      </c>
      <c r="D112" s="6">
        <f t="shared" si="33"/>
        <v>0.14272116730907991</v>
      </c>
      <c r="E112" s="2">
        <v>192.83114113046568</v>
      </c>
      <c r="F112" s="6">
        <f t="shared" si="34"/>
        <v>4.9576088518465955E-3</v>
      </c>
      <c r="G112" s="10">
        <f t="shared" si="35"/>
        <v>6.9298848335489058E-4</v>
      </c>
      <c r="H112" s="2">
        <f t="shared" si="36"/>
        <v>0.6648708906988694</v>
      </c>
    </row>
    <row r="113" spans="1:8" x14ac:dyDescent="0.35">
      <c r="A113" t="s">
        <v>11</v>
      </c>
      <c r="B113">
        <v>1154.7</v>
      </c>
      <c r="C113" s="9">
        <f t="shared" si="32"/>
        <v>114264.95279939743</v>
      </c>
      <c r="D113" s="6">
        <f t="shared" si="33"/>
        <v>6.0464391625892795E-2</v>
      </c>
      <c r="E113" s="2">
        <v>98.956398024939318</v>
      </c>
      <c r="F113" s="6">
        <f t="shared" si="34"/>
        <v>9.9711361847284984E-3</v>
      </c>
      <c r="G113" s="10">
        <f t="shared" si="35"/>
        <v>5.8755494433799366E-4</v>
      </c>
      <c r="H113" s="2">
        <f t="shared" si="36"/>
        <v>0.56371525437958725</v>
      </c>
    </row>
    <row r="114" spans="1:8" x14ac:dyDescent="0.35">
      <c r="A114" t="s">
        <v>12</v>
      </c>
      <c r="B114">
        <v>537</v>
      </c>
      <c r="C114" s="9">
        <f t="shared" si="32"/>
        <v>181628.61594690775</v>
      </c>
      <c r="D114" s="6">
        <f t="shared" si="33"/>
        <v>9.6110517669951906E-2</v>
      </c>
      <c r="E114" s="2">
        <v>338.22833509666248</v>
      </c>
      <c r="F114" s="6">
        <f t="shared" si="34"/>
        <v>2.1883920076117985E-2</v>
      </c>
      <c r="G114" s="10">
        <f t="shared" si="35"/>
        <v>2.0258513881816452E-3</v>
      </c>
      <c r="H114" s="2">
        <f t="shared" si="36"/>
        <v>1.9436536814625347</v>
      </c>
    </row>
    <row r="115" spans="1:8" x14ac:dyDescent="0.35">
      <c r="A115" t="s">
        <v>13</v>
      </c>
      <c r="B115">
        <v>5117</v>
      </c>
      <c r="C115" s="9">
        <f t="shared" si="32"/>
        <v>123252.247327958</v>
      </c>
      <c r="D115" s="6">
        <f t="shared" si="33"/>
        <v>6.5220104403249282E-2</v>
      </c>
      <c r="E115" s="2">
        <v>24.086817926120382</v>
      </c>
      <c r="F115" s="6">
        <f t="shared" si="34"/>
        <v>-7.8526417838099861E-3</v>
      </c>
      <c r="G115" s="10">
        <f t="shared" si="35"/>
        <v>-5.0808246665463592E-4</v>
      </c>
      <c r="H115" s="2">
        <f t="shared" si="36"/>
        <v>-0.48746732487926331</v>
      </c>
    </row>
    <row r="116" spans="1:8" x14ac:dyDescent="0.35">
      <c r="A116" t="s">
        <v>14</v>
      </c>
      <c r="B116">
        <v>999.1</v>
      </c>
      <c r="C116" s="9">
        <f t="shared" si="32"/>
        <v>102231.70687112947</v>
      </c>
      <c r="D116" s="6">
        <f t="shared" si="33"/>
        <v>5.4096884559970207E-2</v>
      </c>
      <c r="E116" s="2">
        <v>102.3237982895901</v>
      </c>
      <c r="F116" s="6">
        <f t="shared" si="34"/>
        <v>-9.8116947472745072E-3</v>
      </c>
      <c r="G116" s="10">
        <f t="shared" si="35"/>
        <v>-5.2760828019060601E-4</v>
      </c>
      <c r="H116" s="2">
        <f t="shared" si="36"/>
        <v>-0.506200890225734</v>
      </c>
    </row>
    <row r="117" spans="1:8" x14ac:dyDescent="0.35">
      <c r="A117" t="s">
        <v>15</v>
      </c>
      <c r="B117">
        <v>810.95</v>
      </c>
      <c r="C117" s="9">
        <f t="shared" si="32"/>
        <v>105285.55514816374</v>
      </c>
      <c r="D117" s="6">
        <f t="shared" si="33"/>
        <v>5.5712857556631981E-2</v>
      </c>
      <c r="E117" s="2">
        <v>129.82989721704635</v>
      </c>
      <c r="F117" s="6">
        <f t="shared" si="34"/>
        <v>6.5160729800173758E-3</v>
      </c>
      <c r="G117" s="10">
        <f t="shared" si="35"/>
        <v>3.5500442944073554E-4</v>
      </c>
      <c r="H117" s="2">
        <f t="shared" si="36"/>
        <v>0.34060033734129164</v>
      </c>
    </row>
    <row r="118" spans="1:8" x14ac:dyDescent="0.35">
      <c r="A118" t="s">
        <v>16</v>
      </c>
      <c r="B118">
        <v>1275</v>
      </c>
      <c r="C118" s="9">
        <f t="shared" si="32"/>
        <v>92736.562942008502</v>
      </c>
      <c r="D118" s="6">
        <f t="shared" si="33"/>
        <v>4.9072438419581865E-2</v>
      </c>
      <c r="E118" s="2">
        <v>72.734559170202743</v>
      </c>
      <c r="F118" s="6">
        <f t="shared" si="34"/>
        <v>2.0980140935297924E-2</v>
      </c>
      <c r="G118" s="10">
        <f t="shared" si="35"/>
        <v>9.9252592050858685E-4</v>
      </c>
      <c r="H118" s="2">
        <f t="shared" si="36"/>
        <v>0.95225477574396167</v>
      </c>
    </row>
    <row r="119" spans="1:8" x14ac:dyDescent="0.35">
      <c r="A119" t="s">
        <v>17</v>
      </c>
      <c r="B119">
        <v>1998.8</v>
      </c>
      <c r="C119" s="9">
        <f t="shared" si="32"/>
        <v>54364.331655041802</v>
      </c>
      <c r="D119" s="6">
        <f t="shared" si="33"/>
        <v>2.8767405570465546E-2</v>
      </c>
      <c r="E119" s="2">
        <v>27.198484918471983</v>
      </c>
      <c r="F119" s="6">
        <f t="shared" si="34"/>
        <v>4.3716396160997165E-3</v>
      </c>
      <c r="G119" s="10">
        <f t="shared" si="35"/>
        <v>1.2324341398622005E-4</v>
      </c>
      <c r="H119" s="2">
        <f t="shared" si="36"/>
        <v>0.11824288627870939</v>
      </c>
    </row>
    <row r="121" spans="1:8" x14ac:dyDescent="0.35">
      <c r="A121" s="14">
        <v>46175</v>
      </c>
      <c r="C121" s="11">
        <f>SUM(C110:C119)</f>
        <v>1889789.1755263358</v>
      </c>
      <c r="G121" s="12" t="s">
        <v>18</v>
      </c>
      <c r="H121" s="19">
        <f>SUM(H110:H119)</f>
        <v>6.943987848835941</v>
      </c>
    </row>
    <row r="122" spans="1:8" x14ac:dyDescent="0.35">
      <c r="G122" s="12" t="s">
        <v>19</v>
      </c>
      <c r="H122" s="19">
        <f>H121+H106</f>
        <v>966.36958678534575</v>
      </c>
    </row>
    <row r="124" spans="1:8" x14ac:dyDescent="0.35">
      <c r="A124" s="8"/>
      <c r="B124" s="8"/>
      <c r="C124" s="8"/>
      <c r="D124" s="8"/>
      <c r="E124" s="8"/>
      <c r="F124" s="8"/>
      <c r="G124" s="8"/>
      <c r="H124" s="8"/>
    </row>
    <row r="126" spans="1:8" x14ac:dyDescent="0.35">
      <c r="A126" t="s">
        <v>8</v>
      </c>
      <c r="B126">
        <v>277</v>
      </c>
      <c r="C126" s="9">
        <f>B126*E126</f>
        <v>346559.773095624</v>
      </c>
      <c r="D126" s="6">
        <f>C126/$C$137</f>
        <v>0.18486066952847419</v>
      </c>
      <c r="E126" s="2">
        <v>1251.1183144246354</v>
      </c>
      <c r="F126" s="6">
        <f>(B126-B110)/B110</f>
        <v>-2.2065313327449251E-2</v>
      </c>
      <c r="G126" s="10">
        <f>D110*F126</f>
        <v>-4.137757569161714E-3</v>
      </c>
      <c r="H126" s="2">
        <f>G126*$H$122</f>
        <v>-3.9986030723287422</v>
      </c>
    </row>
    <row r="127" spans="1:8" x14ac:dyDescent="0.35">
      <c r="A127" t="s">
        <v>9</v>
      </c>
      <c r="B127">
        <v>2090.6</v>
      </c>
      <c r="C127" s="9">
        <f t="shared" ref="C127:C135" si="37">B127*E127</f>
        <v>491204.65121615416</v>
      </c>
      <c r="D127" s="6">
        <f t="shared" ref="D127:D135" si="38">C127/$C$137</f>
        <v>0.26201662093731759</v>
      </c>
      <c r="E127" s="2">
        <v>234.95869664983937</v>
      </c>
      <c r="F127" s="6">
        <f t="shared" ref="F127:F135" si="39">(B127-B111)/B111</f>
        <v>-1.4806323733103641E-3</v>
      </c>
      <c r="G127" s="10">
        <f t="shared" ref="G127:G135" si="40">D111*F127</f>
        <v>-3.8542498234577817E-4</v>
      </c>
      <c r="H127" s="2">
        <f t="shared" ref="H127:H135" si="41">G127*$H$122</f>
        <v>-0.37246298092623881</v>
      </c>
    </row>
    <row r="128" spans="1:8" x14ac:dyDescent="0.35">
      <c r="A128" t="s">
        <v>10</v>
      </c>
      <c r="B128">
        <v>1391.5</v>
      </c>
      <c r="C128" s="9">
        <f t="shared" si="37"/>
        <v>268324.53288304299</v>
      </c>
      <c r="D128" s="6">
        <f t="shared" si="38"/>
        <v>0.1431287086686425</v>
      </c>
      <c r="E128" s="2">
        <v>192.83114113046568</v>
      </c>
      <c r="F128" s="6">
        <f t="shared" si="39"/>
        <v>-5.1476370915850755E-3</v>
      </c>
      <c r="G128" s="10">
        <f t="shared" si="40"/>
        <v>-7.3467677459453909E-4</v>
      </c>
      <c r="H128" s="2">
        <f t="shared" si="41"/>
        <v>-0.70996929108571538</v>
      </c>
    </row>
    <row r="129" spans="1:8" x14ac:dyDescent="0.35">
      <c r="A129" t="s">
        <v>11</v>
      </c>
      <c r="B129">
        <v>1144</v>
      </c>
      <c r="C129" s="9">
        <f t="shared" si="37"/>
        <v>113206.11934053058</v>
      </c>
      <c r="D129" s="6">
        <f t="shared" si="38"/>
        <v>6.0386001609703512E-2</v>
      </c>
      <c r="E129" s="2">
        <v>98.956398024939318</v>
      </c>
      <c r="F129" s="6">
        <f t="shared" si="39"/>
        <v>-9.2664761409890408E-3</v>
      </c>
      <c r="G129" s="10">
        <f t="shared" si="40"/>
        <v>-5.6029184238075313E-4</v>
      </c>
      <c r="H129" s="2">
        <f t="shared" si="41"/>
        <v>-0.54144899620068843</v>
      </c>
    </row>
    <row r="130" spans="1:8" x14ac:dyDescent="0.35">
      <c r="A130" t="s">
        <v>12</v>
      </c>
      <c r="B130">
        <v>533.4</v>
      </c>
      <c r="C130" s="9">
        <f t="shared" si="37"/>
        <v>180410.99394055977</v>
      </c>
      <c r="D130" s="6">
        <f t="shared" si="38"/>
        <v>9.6234184458988209E-2</v>
      </c>
      <c r="E130" s="2">
        <v>338.22833509666248</v>
      </c>
      <c r="F130" s="6">
        <f t="shared" si="39"/>
        <v>-6.703910614525182E-3</v>
      </c>
      <c r="G130" s="10">
        <f t="shared" si="40"/>
        <v>-6.4431631957510068E-4</v>
      </c>
      <c r="H130" s="2">
        <f t="shared" si="41"/>
        <v>-0.62264769550684484</v>
      </c>
    </row>
    <row r="131" spans="1:8" x14ac:dyDescent="0.35">
      <c r="A131" t="s">
        <v>13</v>
      </c>
      <c r="B131">
        <v>5064</v>
      </c>
      <c r="C131" s="9">
        <f t="shared" si="37"/>
        <v>121975.64597787362</v>
      </c>
      <c r="D131" s="6">
        <f t="shared" si="38"/>
        <v>6.5063811013681028E-2</v>
      </c>
      <c r="E131" s="2">
        <v>24.086817926120382</v>
      </c>
      <c r="F131" s="6">
        <f t="shared" si="39"/>
        <v>-1.0357631424662889E-2</v>
      </c>
      <c r="G131" s="10">
        <f t="shared" si="40"/>
        <v>-6.755258028868892E-4</v>
      </c>
      <c r="H131" s="2">
        <f t="shared" si="41"/>
        <v>-0.65280759099864205</v>
      </c>
    </row>
    <row r="132" spans="1:8" x14ac:dyDescent="0.35">
      <c r="A132" t="s">
        <v>14</v>
      </c>
      <c r="B132">
        <v>986.5</v>
      </c>
      <c r="C132" s="9">
        <f t="shared" si="37"/>
        <v>100942.42701268064</v>
      </c>
      <c r="D132" s="6">
        <f t="shared" si="38"/>
        <v>5.3844346892056826E-2</v>
      </c>
      <c r="E132" s="2">
        <v>102.3237982895901</v>
      </c>
      <c r="F132" s="6">
        <f t="shared" si="39"/>
        <v>-1.2611350215193697E-2</v>
      </c>
      <c r="G132" s="10">
        <f t="shared" si="40"/>
        <v>-6.8223475673668882E-4</v>
      </c>
      <c r="H132" s="2">
        <f t="shared" si="41"/>
        <v>-0.65929091995823486</v>
      </c>
    </row>
    <row r="133" spans="1:8" x14ac:dyDescent="0.35">
      <c r="A133" t="s">
        <v>15</v>
      </c>
      <c r="B133">
        <v>811.25</v>
      </c>
      <c r="C133" s="9">
        <f t="shared" si="37"/>
        <v>105324.50411732885</v>
      </c>
      <c r="D133" s="6">
        <f t="shared" si="38"/>
        <v>5.618181872340855E-2</v>
      </c>
      <c r="E133" s="2">
        <v>129.82989721704635</v>
      </c>
      <c r="F133" s="6">
        <f t="shared" si="39"/>
        <v>3.6993649423510018E-4</v>
      </c>
      <c r="G133" s="10">
        <f t="shared" si="40"/>
        <v>2.0610219208319944E-5</v>
      </c>
      <c r="H133" s="2">
        <f t="shared" si="41"/>
        <v>1.9917089019899539E-2</v>
      </c>
    </row>
    <row r="134" spans="1:8" x14ac:dyDescent="0.35">
      <c r="A134" t="s">
        <v>16</v>
      </c>
      <c r="B134">
        <v>1262.9000000000001</v>
      </c>
      <c r="C134" s="9">
        <f t="shared" si="37"/>
        <v>91856.474776049057</v>
      </c>
      <c r="D134" s="6">
        <f t="shared" si="38"/>
        <v>4.8997750881319017E-2</v>
      </c>
      <c r="E134" s="2">
        <v>72.734559170202743</v>
      </c>
      <c r="F134" s="6">
        <f t="shared" si="39"/>
        <v>-9.4901960784313007E-3</v>
      </c>
      <c r="G134" s="10">
        <f t="shared" si="40"/>
        <v>-4.6570706264857729E-4</v>
      </c>
      <c r="H134" s="2">
        <f t="shared" si="41"/>
        <v>-0.45004514169472276</v>
      </c>
    </row>
    <row r="135" spans="1:8" x14ac:dyDescent="0.35">
      <c r="A135" t="s">
        <v>17</v>
      </c>
      <c r="B135">
        <v>2018.6</v>
      </c>
      <c r="C135" s="9">
        <f t="shared" si="37"/>
        <v>54902.861656427543</v>
      </c>
      <c r="D135" s="6">
        <f t="shared" si="38"/>
        <v>2.9286087286408559E-2</v>
      </c>
      <c r="E135" s="2">
        <v>27.198484918471983</v>
      </c>
      <c r="F135" s="6">
        <f t="shared" si="39"/>
        <v>9.9059435661396616E-3</v>
      </c>
      <c r="G135" s="10">
        <f t="shared" si="40"/>
        <v>2.8496829612528345E-4</v>
      </c>
      <c r="H135" s="2">
        <f t="shared" si="41"/>
        <v>0.27538469457351422</v>
      </c>
    </row>
    <row r="137" spans="1:8" x14ac:dyDescent="0.35">
      <c r="A137" s="14">
        <v>46176</v>
      </c>
      <c r="C137" s="11">
        <f>SUM(C126:C135)</f>
        <v>1874707.9840162713</v>
      </c>
      <c r="G137" s="12" t="s">
        <v>18</v>
      </c>
      <c r="H137" s="19">
        <f>SUM(H126:H135)</f>
        <v>-7.711973905106416</v>
      </c>
    </row>
    <row r="138" spans="1:8" x14ac:dyDescent="0.35">
      <c r="G138" s="12" t="s">
        <v>19</v>
      </c>
      <c r="H138" s="19">
        <f>H137+H122</f>
        <v>958.6576128802393</v>
      </c>
    </row>
    <row r="140" spans="1:8" x14ac:dyDescent="0.35">
      <c r="A140" s="8"/>
      <c r="B140" s="8"/>
      <c r="C140" s="8"/>
      <c r="D140" s="8"/>
      <c r="E140" s="8"/>
      <c r="F140" s="8"/>
      <c r="G140" s="8"/>
      <c r="H140" s="8"/>
    </row>
    <row r="142" spans="1:8" x14ac:dyDescent="0.35">
      <c r="A142" t="s">
        <v>8</v>
      </c>
      <c r="B142">
        <v>280.3</v>
      </c>
      <c r="C142" s="9">
        <f>B142*E142</f>
        <v>350688.46353322529</v>
      </c>
      <c r="D142" s="6">
        <f>C142/$C$153</f>
        <v>0.18710392005065668</v>
      </c>
      <c r="E142" s="2">
        <v>1251.1183144246354</v>
      </c>
      <c r="F142" s="6">
        <f>(B142-B126)/B126</f>
        <v>1.1913357400722063E-2</v>
      </c>
      <c r="G142" s="10">
        <f>D126*F142</f>
        <v>2.2023112254294834E-3</v>
      </c>
      <c r="H142" s="2">
        <f>G142*$H$138</f>
        <v>2.1112624221895833</v>
      </c>
    </row>
    <row r="143" spans="1:8" x14ac:dyDescent="0.35">
      <c r="A143" t="s">
        <v>9</v>
      </c>
      <c r="B143">
        <v>2079.4</v>
      </c>
      <c r="C143" s="9">
        <f t="shared" ref="C143:C151" si="42">B143*E143</f>
        <v>488573.113813676</v>
      </c>
      <c r="D143" s="6">
        <f t="shared" ref="D143:D151" si="43">C143/$C$153</f>
        <v>0.26066995162854445</v>
      </c>
      <c r="E143" s="2">
        <v>234.95869664983937</v>
      </c>
      <c r="F143" s="6">
        <f t="shared" ref="F143:F151" si="44">(B143-B127)/B127</f>
        <v>-5.3573136898497171E-3</v>
      </c>
      <c r="G143" s="10">
        <f t="shared" ref="G143:G151" si="45">D127*F143</f>
        <v>-1.4037052303156555E-3</v>
      </c>
      <c r="H143" s="2">
        <f t="shared" ref="H143:H151" si="46">G143*$H$138</f>
        <v>-1.3456727052819129</v>
      </c>
    </row>
    <row r="144" spans="1:8" x14ac:dyDescent="0.35">
      <c r="A144" t="s">
        <v>10</v>
      </c>
      <c r="B144">
        <v>1382.9</v>
      </c>
      <c r="C144" s="9">
        <f t="shared" si="42"/>
        <v>266666.18506932101</v>
      </c>
      <c r="D144" s="6">
        <f t="shared" si="43"/>
        <v>0.14227524928745403</v>
      </c>
      <c r="E144" s="2">
        <v>192.83114113046568</v>
      </c>
      <c r="F144" s="6">
        <f t="shared" si="44"/>
        <v>-6.1803808839381311E-3</v>
      </c>
      <c r="G144" s="10">
        <f t="shared" si="45"/>
        <v>-8.8458993499842794E-4</v>
      </c>
      <c r="H144" s="2">
        <f t="shared" si="46"/>
        <v>-0.84801887546347898</v>
      </c>
    </row>
    <row r="145" spans="1:8" x14ac:dyDescent="0.35">
      <c r="A145" t="s">
        <v>11</v>
      </c>
      <c r="B145">
        <v>1149.3</v>
      </c>
      <c r="C145" s="9">
        <f t="shared" si="42"/>
        <v>113730.58825006275</v>
      </c>
      <c r="D145" s="6">
        <f t="shared" si="43"/>
        <v>6.0679038816564362E-2</v>
      </c>
      <c r="E145" s="2">
        <v>98.956398024939318</v>
      </c>
      <c r="F145" s="6">
        <f t="shared" si="44"/>
        <v>4.6328671328670929E-3</v>
      </c>
      <c r="G145" s="10">
        <f t="shared" si="45"/>
        <v>2.7976032214285476E-4</v>
      </c>
      <c r="H145" s="2">
        <f t="shared" si="46"/>
        <v>0.26819436260407586</v>
      </c>
    </row>
    <row r="146" spans="1:8" x14ac:dyDescent="0.35">
      <c r="A146" t="s">
        <v>12</v>
      </c>
      <c r="B146">
        <v>528.4</v>
      </c>
      <c r="C146" s="9">
        <f t="shared" si="42"/>
        <v>178719.85226507645</v>
      </c>
      <c r="D146" s="6">
        <f t="shared" si="43"/>
        <v>9.5352965457621633E-2</v>
      </c>
      <c r="E146" s="2">
        <v>338.22833509666248</v>
      </c>
      <c r="F146" s="6">
        <f t="shared" si="44"/>
        <v>-9.3738282714660674E-3</v>
      </c>
      <c r="G146" s="10">
        <f t="shared" si="45"/>
        <v>-9.0208271896314413E-4</v>
      </c>
      <c r="H146" s="2">
        <f t="shared" si="46"/>
        <v>-0.86478846598172354</v>
      </c>
    </row>
    <row r="147" spans="1:8" x14ac:dyDescent="0.35">
      <c r="A147" t="s">
        <v>13</v>
      </c>
      <c r="B147">
        <v>5090</v>
      </c>
      <c r="C147" s="9">
        <f t="shared" si="42"/>
        <v>122601.90324395275</v>
      </c>
      <c r="D147" s="6">
        <f t="shared" si="43"/>
        <v>6.5412179435556314E-2</v>
      </c>
      <c r="E147" s="2">
        <v>24.086817926120382</v>
      </c>
      <c r="F147" s="6">
        <f t="shared" si="44"/>
        <v>5.1342812006319113E-3</v>
      </c>
      <c r="G147" s="10">
        <f t="shared" si="45"/>
        <v>3.3405590172901002E-4</v>
      </c>
      <c r="H147" s="2">
        <f t="shared" si="46"/>
        <v>0.32024523332008853</v>
      </c>
    </row>
    <row r="148" spans="1:8" x14ac:dyDescent="0.35">
      <c r="A148" t="s">
        <v>14</v>
      </c>
      <c r="B148">
        <v>995.4</v>
      </c>
      <c r="C148" s="9">
        <f t="shared" si="42"/>
        <v>101853.10881745798</v>
      </c>
      <c r="D148" s="6">
        <f t="shared" si="43"/>
        <v>5.4342009820026384E-2</v>
      </c>
      <c r="E148" s="2">
        <v>102.3237982895901</v>
      </c>
      <c r="F148" s="6">
        <f t="shared" si="44"/>
        <v>9.0217942219969361E-3</v>
      </c>
      <c r="G148" s="10">
        <f t="shared" si="45"/>
        <v>4.8577261767795694E-4</v>
      </c>
      <c r="H148" s="2">
        <f t="shared" si="46"/>
        <v>0.46568961806573533</v>
      </c>
    </row>
    <row r="149" spans="1:8" x14ac:dyDescent="0.35">
      <c r="A149" t="s">
        <v>15</v>
      </c>
      <c r="B149">
        <v>816.85</v>
      </c>
      <c r="C149" s="9">
        <f t="shared" si="42"/>
        <v>106051.55154174431</v>
      </c>
      <c r="D149" s="6">
        <f t="shared" si="43"/>
        <v>5.6582018185022696E-2</v>
      </c>
      <c r="E149" s="2">
        <v>129.82989721704635</v>
      </c>
      <c r="F149" s="6">
        <f t="shared" si="44"/>
        <v>6.9029275808937104E-3</v>
      </c>
      <c r="G149" s="10">
        <f t="shared" si="45"/>
        <v>3.8781902601058753E-4</v>
      </c>
      <c r="H149" s="2">
        <f t="shared" si="46"/>
        <v>0.37178566170484928</v>
      </c>
    </row>
    <row r="150" spans="1:8" x14ac:dyDescent="0.35">
      <c r="A150" t="s">
        <v>16</v>
      </c>
      <c r="B150">
        <v>1249.7</v>
      </c>
      <c r="C150" s="9">
        <f t="shared" si="42"/>
        <v>90896.378595002374</v>
      </c>
      <c r="D150" s="6">
        <f t="shared" si="43"/>
        <v>4.8496231048450911E-2</v>
      </c>
      <c r="E150" s="2">
        <v>72.734559170202743</v>
      </c>
      <c r="F150" s="6">
        <f t="shared" si="44"/>
        <v>-1.0452133977353745E-2</v>
      </c>
      <c r="G150" s="10">
        <f t="shared" si="45"/>
        <v>-5.1213105680054894E-4</v>
      </c>
      <c r="H150" s="2">
        <f t="shared" si="46"/>
        <v>-0.49095833639424852</v>
      </c>
    </row>
    <row r="151" spans="1:8" x14ac:dyDescent="0.35">
      <c r="A151" t="s">
        <v>17</v>
      </c>
      <c r="B151">
        <v>2004.4</v>
      </c>
      <c r="C151" s="9">
        <f t="shared" si="42"/>
        <v>54516.643170585245</v>
      </c>
      <c r="D151" s="6">
        <f t="shared" si="43"/>
        <v>2.9086436270102607E-2</v>
      </c>
      <c r="E151" s="2">
        <v>27.198484918471983</v>
      </c>
      <c r="F151" s="6">
        <f t="shared" si="44"/>
        <v>-7.0345784206875157E-3</v>
      </c>
      <c r="G151" s="10">
        <f t="shared" si="45"/>
        <v>-2.0601527765134065E-4</v>
      </c>
      <c r="H151" s="2">
        <f t="shared" si="46"/>
        <v>-0.19749811429009395</v>
      </c>
    </row>
    <row r="153" spans="1:8" x14ac:dyDescent="0.35">
      <c r="A153" s="14">
        <v>46177</v>
      </c>
      <c r="C153" s="11">
        <f>SUM(C142:C151)</f>
        <v>1874297.788300104</v>
      </c>
      <c r="G153" s="12" t="s">
        <v>18</v>
      </c>
      <c r="H153" s="19">
        <f>SUM(H142:H151)</f>
        <v>-0.20975919952712552</v>
      </c>
    </row>
    <row r="154" spans="1:8" x14ac:dyDescent="0.35">
      <c r="G154" s="12" t="s">
        <v>19</v>
      </c>
      <c r="H154" s="19">
        <f>H153+H138</f>
        <v>958.44785368071223</v>
      </c>
    </row>
    <row r="155" spans="1:8" x14ac:dyDescent="0.35">
      <c r="A155" s="8"/>
      <c r="B155" s="8"/>
      <c r="C155" s="8"/>
      <c r="D155" s="8"/>
      <c r="E155" s="8"/>
      <c r="F155" s="8"/>
      <c r="G155" s="8"/>
      <c r="H155" s="8"/>
    </row>
    <row r="157" spans="1:8" x14ac:dyDescent="0.35">
      <c r="A157" t="s">
        <v>8</v>
      </c>
      <c r="B157">
        <v>280.7</v>
      </c>
      <c r="C157" s="9">
        <f>B157*E157</f>
        <v>351188.91085899516</v>
      </c>
      <c r="D157" s="6">
        <f>C157/$C$168</f>
        <v>0.18664130190458961</v>
      </c>
      <c r="E157" s="2">
        <v>1251.1183144246354</v>
      </c>
      <c r="F157" s="6">
        <f>(B157-B142)/B142</f>
        <v>1.4270424545129406E-3</v>
      </c>
      <c r="G157" s="10">
        <f>D142*F157</f>
        <v>2.6700523731808213E-4</v>
      </c>
      <c r="H157" s="2">
        <f>G157*$H$154</f>
        <v>0.25591059662902504</v>
      </c>
    </row>
    <row r="158" spans="1:8" x14ac:dyDescent="0.35">
      <c r="A158" t="s">
        <v>9</v>
      </c>
      <c r="B158">
        <v>2121.5</v>
      </c>
      <c r="C158" s="9">
        <f t="shared" ref="C158:C166" si="47">B158*E158</f>
        <v>498464.8749426342</v>
      </c>
      <c r="D158" s="6">
        <f t="shared" ref="D158:D166" si="48">C158/$C$168</f>
        <v>0.26491193296919208</v>
      </c>
      <c r="E158" s="2">
        <v>234.95869664983937</v>
      </c>
      <c r="F158" s="6">
        <f t="shared" ref="F158:F166" si="49">(B158-B143)/B143</f>
        <v>2.0246224872559348E-2</v>
      </c>
      <c r="G158" s="10">
        <f t="shared" ref="G158:G166" si="50">D143*F158</f>
        <v>5.2775824581906784E-3</v>
      </c>
      <c r="H158" s="2">
        <f t="shared" ref="H158:H166" si="51">G158*$H$154</f>
        <v>5.0582875796758326</v>
      </c>
    </row>
    <row r="159" spans="1:8" x14ac:dyDescent="0.35">
      <c r="A159" t="s">
        <v>10</v>
      </c>
      <c r="B159">
        <v>1386.2</v>
      </c>
      <c r="C159" s="9">
        <f t="shared" si="47"/>
        <v>267302.52783505153</v>
      </c>
      <c r="D159" s="6">
        <f t="shared" si="48"/>
        <v>0.14205941661282376</v>
      </c>
      <c r="E159" s="2">
        <v>192.83114113046568</v>
      </c>
      <c r="F159" s="6">
        <f t="shared" si="49"/>
        <v>2.3862896811048914E-3</v>
      </c>
      <c r="G159" s="10">
        <f t="shared" si="50"/>
        <v>3.3950995925127758E-4</v>
      </c>
      <c r="H159" s="2">
        <f t="shared" si="51"/>
        <v>0.32540259174761305</v>
      </c>
    </row>
    <row r="160" spans="1:8" x14ac:dyDescent="0.35">
      <c r="A160" t="s">
        <v>11</v>
      </c>
      <c r="B160">
        <v>1130.9000000000001</v>
      </c>
      <c r="C160" s="9">
        <f t="shared" si="47"/>
        <v>111909.79052640389</v>
      </c>
      <c r="D160" s="6">
        <f t="shared" si="48"/>
        <v>5.9475081228018062E-2</v>
      </c>
      <c r="E160" s="2">
        <v>98.956398024939318</v>
      </c>
      <c r="F160" s="6">
        <f t="shared" si="49"/>
        <v>-1.6009745062211662E-2</v>
      </c>
      <c r="G160" s="10">
        <f t="shared" si="50"/>
        <v>-9.7145594207324101E-4</v>
      </c>
      <c r="H160" s="2">
        <f t="shared" si="51"/>
        <v>-0.93108986262547211</v>
      </c>
    </row>
    <row r="161" spans="1:8" x14ac:dyDescent="0.35">
      <c r="A161" t="s">
        <v>12</v>
      </c>
      <c r="B161">
        <v>523.29999999999995</v>
      </c>
      <c r="C161" s="9">
        <f t="shared" si="47"/>
        <v>176994.88775608345</v>
      </c>
      <c r="D161" s="6">
        <f t="shared" si="48"/>
        <v>9.4064918509103299E-2</v>
      </c>
      <c r="E161" s="2">
        <v>338.22833509666248</v>
      </c>
      <c r="F161" s="6">
        <f t="shared" si="49"/>
        <v>-9.65177895533691E-3</v>
      </c>
      <c r="G161" s="10">
        <f t="shared" si="50"/>
        <v>-9.2032574533283977E-4</v>
      </c>
      <c r="H161" s="2">
        <f t="shared" si="51"/>
        <v>-0.88208423530136204</v>
      </c>
    </row>
    <row r="162" spans="1:8" x14ac:dyDescent="0.35">
      <c r="A162" t="s">
        <v>13</v>
      </c>
      <c r="B162">
        <v>5120.5</v>
      </c>
      <c r="C162" s="9">
        <f t="shared" si="47"/>
        <v>123336.55119069942</v>
      </c>
      <c r="D162" s="6">
        <f t="shared" si="48"/>
        <v>6.5547896801037592E-2</v>
      </c>
      <c r="E162" s="2">
        <v>24.086817926120382</v>
      </c>
      <c r="F162" s="6">
        <f t="shared" si="49"/>
        <v>5.9921414538310416E-3</v>
      </c>
      <c r="G162" s="10">
        <f t="shared" si="50"/>
        <v>3.9195903198123135E-4</v>
      </c>
      <c r="H162" s="2">
        <f t="shared" si="51"/>
        <v>0.37567229293318083</v>
      </c>
    </row>
    <row r="163" spans="1:8" x14ac:dyDescent="0.35">
      <c r="A163" t="s">
        <v>14</v>
      </c>
      <c r="B163">
        <v>998</v>
      </c>
      <c r="C163" s="9">
        <f t="shared" si="47"/>
        <v>102119.15069301092</v>
      </c>
      <c r="D163" s="6">
        <f t="shared" si="48"/>
        <v>5.427179117961136E-2</v>
      </c>
      <c r="E163" s="2">
        <v>102.3237982895901</v>
      </c>
      <c r="F163" s="6">
        <f t="shared" si="49"/>
        <v>2.6120152702431413E-3</v>
      </c>
      <c r="G163" s="10">
        <f t="shared" si="50"/>
        <v>1.4194215946561166E-4</v>
      </c>
      <c r="H163" s="2">
        <f t="shared" si="51"/>
        <v>0.13604415808662088</v>
      </c>
    </row>
    <row r="164" spans="1:8" x14ac:dyDescent="0.35">
      <c r="A164" t="s">
        <v>15</v>
      </c>
      <c r="B164">
        <v>810.65</v>
      </c>
      <c r="C164" s="9">
        <f t="shared" si="47"/>
        <v>105246.60617899863</v>
      </c>
      <c r="D164" s="6">
        <f t="shared" si="48"/>
        <v>5.5933894809608267E-2</v>
      </c>
      <c r="E164" s="2">
        <v>129.82989721704635</v>
      </c>
      <c r="F164" s="6">
        <f t="shared" si="49"/>
        <v>-7.5901328273245338E-3</v>
      </c>
      <c r="G164" s="10">
        <f t="shared" si="50"/>
        <v>-4.2946503366241451E-4</v>
      </c>
      <c r="H164" s="2">
        <f t="shared" si="51"/>
        <v>-0.41161983974465599</v>
      </c>
    </row>
    <row r="165" spans="1:8" x14ac:dyDescent="0.35">
      <c r="A165" t="s">
        <v>16</v>
      </c>
      <c r="B165">
        <v>1246.7</v>
      </c>
      <c r="C165" s="9">
        <f t="shared" si="47"/>
        <v>90678.174917491764</v>
      </c>
      <c r="D165" s="6">
        <f t="shared" si="48"/>
        <v>4.8191420906590045E-2</v>
      </c>
      <c r="E165" s="2">
        <v>72.734559170202743</v>
      </c>
      <c r="F165" s="6">
        <f t="shared" si="49"/>
        <v>-2.4005761382731856E-3</v>
      </c>
      <c r="G165" s="10">
        <f t="shared" si="50"/>
        <v>-1.1641889505109445E-4</v>
      </c>
      <c r="H165" s="2">
        <f t="shared" si="51"/>
        <v>-0.11158144008960157</v>
      </c>
    </row>
    <row r="166" spans="1:8" x14ac:dyDescent="0.35">
      <c r="A166" t="s">
        <v>17</v>
      </c>
      <c r="B166">
        <v>1999.5</v>
      </c>
      <c r="C166" s="9">
        <f t="shared" si="47"/>
        <v>54383.370594484732</v>
      </c>
      <c r="D166" s="6">
        <f t="shared" si="48"/>
        <v>2.8902345079425861E-2</v>
      </c>
      <c r="E166" s="2">
        <v>27.198484918471983</v>
      </c>
      <c r="F166" s="6">
        <f t="shared" si="49"/>
        <v>-2.444621831969712E-3</v>
      </c>
      <c r="G166" s="10">
        <f t="shared" si="50"/>
        <v>-7.1105337120088509E-5</v>
      </c>
      <c r="H166" s="2">
        <f t="shared" si="51"/>
        <v>-6.8150757747992313E-2</v>
      </c>
    </row>
    <row r="168" spans="1:8" x14ac:dyDescent="0.35">
      <c r="A168" s="14">
        <v>46178</v>
      </c>
      <c r="C168" s="11">
        <f>SUM(C157:C166)</f>
        <v>1881624.8454938538</v>
      </c>
      <c r="G168" s="12" t="s">
        <v>18</v>
      </c>
      <c r="H168" s="19">
        <f>SUM(H157:H166)</f>
        <v>3.7467910835631884</v>
      </c>
    </row>
    <row r="169" spans="1:8" x14ac:dyDescent="0.35">
      <c r="G169" s="12" t="s">
        <v>19</v>
      </c>
      <c r="H169" s="19">
        <f>H168+H154</f>
        <v>962.19464476427538</v>
      </c>
    </row>
    <row r="171" spans="1:8" x14ac:dyDescent="0.35">
      <c r="A171" s="8"/>
      <c r="B171" s="8"/>
      <c r="C171" s="8"/>
      <c r="D171" s="8"/>
      <c r="E171" s="8"/>
      <c r="F171" s="8"/>
      <c r="G171" s="8"/>
      <c r="H171" s="8"/>
    </row>
    <row r="173" spans="1:8" x14ac:dyDescent="0.35">
      <c r="A173" t="s">
        <v>8</v>
      </c>
      <c r="B173">
        <v>279.45</v>
      </c>
      <c r="C173" s="9">
        <f>B173*E173</f>
        <v>349625.01296596433</v>
      </c>
      <c r="D173" s="6">
        <f>C173/$C$184</f>
        <v>0.18606571261375895</v>
      </c>
      <c r="E173" s="2">
        <v>1251.1183144246354</v>
      </c>
      <c r="F173" s="6">
        <f>(B173-B157)/B157</f>
        <v>-4.4531528322052016E-3</v>
      </c>
      <c r="G173" s="10">
        <f>D157*F173</f>
        <v>-8.3114224218288929E-4</v>
      </c>
      <c r="H173" s="2">
        <f>G173*$H$169</f>
        <v>-0.79972061446574849</v>
      </c>
    </row>
    <row r="174" spans="1:8" x14ac:dyDescent="0.35">
      <c r="A174" t="s">
        <v>9</v>
      </c>
      <c r="B174">
        <v>2110.1</v>
      </c>
      <c r="C174" s="9">
        <f t="shared" ref="C174:C182" si="52">B174*E174</f>
        <v>495786.34580082603</v>
      </c>
      <c r="D174" s="6">
        <f t="shared" ref="D174:D182" si="53">C174/$C$184</f>
        <v>0.26385080104260894</v>
      </c>
      <c r="E174" s="2">
        <v>234.95869664983937</v>
      </c>
      <c r="F174" s="6">
        <f t="shared" ref="F174:F182" si="54">(B174-B158)/B158</f>
        <v>-5.3735564459109547E-3</v>
      </c>
      <c r="G174" s="10">
        <f t="shared" ref="G174:G182" si="55">D158*F174</f>
        <v>-1.4235192250053328E-3</v>
      </c>
      <c r="H174" s="2">
        <f t="shared" ref="H174:H182" si="56">G174*$H$169</f>
        <v>-1.3697025750191227</v>
      </c>
    </row>
    <row r="175" spans="1:8" x14ac:dyDescent="0.35">
      <c r="A175" t="s">
        <v>10</v>
      </c>
      <c r="B175">
        <v>1398.9</v>
      </c>
      <c r="C175" s="9">
        <f t="shared" si="52"/>
        <v>269751.48332740844</v>
      </c>
      <c r="D175" s="6">
        <f t="shared" si="53"/>
        <v>0.14355809828405747</v>
      </c>
      <c r="E175" s="2">
        <v>192.83114113046568</v>
      </c>
      <c r="F175" s="6">
        <f t="shared" si="54"/>
        <v>9.1617371230702967E-3</v>
      </c>
      <c r="G175" s="10">
        <f t="shared" si="55"/>
        <v>1.3015110308634166E-3</v>
      </c>
      <c r="H175" s="2">
        <f t="shared" si="56"/>
        <v>1.2523069439984109</v>
      </c>
    </row>
    <row r="176" spans="1:8" x14ac:dyDescent="0.35">
      <c r="A176" t="s">
        <v>11</v>
      </c>
      <c r="B176">
        <v>1107</v>
      </c>
      <c r="C176" s="9">
        <f t="shared" si="52"/>
        <v>109544.73261360782</v>
      </c>
      <c r="D176" s="6">
        <f t="shared" si="53"/>
        <v>5.8298228047027174E-2</v>
      </c>
      <c r="E176" s="2">
        <v>98.956398024939318</v>
      </c>
      <c r="F176" s="6">
        <f t="shared" si="54"/>
        <v>-2.1133610398797496E-2</v>
      </c>
      <c r="G176" s="10">
        <f t="shared" si="55"/>
        <v>-1.2569231951097683E-3</v>
      </c>
      <c r="H176" s="2">
        <f t="shared" si="56"/>
        <v>-1.2094047672146215</v>
      </c>
    </row>
    <row r="177" spans="1:8" x14ac:dyDescent="0.35">
      <c r="A177" t="s">
        <v>12</v>
      </c>
      <c r="B177">
        <v>522.15</v>
      </c>
      <c r="C177" s="9">
        <f t="shared" si="52"/>
        <v>176605.9251707223</v>
      </c>
      <c r="D177" s="6">
        <f t="shared" si="53"/>
        <v>9.3987289524681564E-2</v>
      </c>
      <c r="E177" s="2">
        <v>338.22833509666248</v>
      </c>
      <c r="F177" s="6">
        <f t="shared" si="54"/>
        <v>-2.1975922033250091E-3</v>
      </c>
      <c r="G177" s="10">
        <f t="shared" si="55"/>
        <v>-2.0671633152200775E-4</v>
      </c>
      <c r="H177" s="2">
        <f t="shared" si="56"/>
        <v>-0.19890134717579244</v>
      </c>
    </row>
    <row r="178" spans="1:8" x14ac:dyDescent="0.35">
      <c r="A178" t="s">
        <v>13</v>
      </c>
      <c r="B178">
        <v>5078.5</v>
      </c>
      <c r="C178" s="9">
        <f t="shared" si="52"/>
        <v>122324.90483780236</v>
      </c>
      <c r="D178" s="6">
        <f t="shared" si="53"/>
        <v>6.5099663196213187E-2</v>
      </c>
      <c r="E178" s="2">
        <v>24.086817926120382</v>
      </c>
      <c r="F178" s="6">
        <f t="shared" si="54"/>
        <v>-8.2023239917976762E-3</v>
      </c>
      <c r="G178" s="10">
        <f t="shared" si="55"/>
        <v>-5.3764508654302883E-4</v>
      </c>
      <c r="H178" s="2">
        <f t="shared" si="56"/>
        <v>-0.51731922305552769</v>
      </c>
    </row>
    <row r="179" spans="1:8" x14ac:dyDescent="0.35">
      <c r="A179" t="s">
        <v>14</v>
      </c>
      <c r="B179">
        <v>1033.4000000000001</v>
      </c>
      <c r="C179" s="9">
        <f t="shared" si="52"/>
        <v>105741.41315246242</v>
      </c>
      <c r="D179" s="6">
        <f t="shared" si="53"/>
        <v>5.6274152767537125E-2</v>
      </c>
      <c r="E179" s="2">
        <v>102.3237982895901</v>
      </c>
      <c r="F179" s="6">
        <f t="shared" si="54"/>
        <v>3.5470941883767627E-2</v>
      </c>
      <c r="G179" s="10">
        <f t="shared" si="55"/>
        <v>1.925071550859967E-3</v>
      </c>
      <c r="H179" s="2">
        <f t="shared" si="56"/>
        <v>1.8522935370255187</v>
      </c>
    </row>
    <row r="180" spans="1:8" x14ac:dyDescent="0.35">
      <c r="A180" t="s">
        <v>15</v>
      </c>
      <c r="B180">
        <v>809</v>
      </c>
      <c r="C180" s="9">
        <f t="shared" si="52"/>
        <v>105032.3868485905</v>
      </c>
      <c r="D180" s="6">
        <f t="shared" si="53"/>
        <v>5.5896818539151488E-2</v>
      </c>
      <c r="E180" s="2">
        <v>129.82989721704635</v>
      </c>
      <c r="F180" s="6">
        <f t="shared" si="54"/>
        <v>-2.0354036883981708E-3</v>
      </c>
      <c r="G180" s="10">
        <f t="shared" si="55"/>
        <v>-1.1384805580195197E-4</v>
      </c>
      <c r="H180" s="2">
        <f t="shared" si="56"/>
        <v>-0.10954398960946257</v>
      </c>
    </row>
    <row r="181" spans="1:8" x14ac:dyDescent="0.35">
      <c r="A181" t="s">
        <v>16</v>
      </c>
      <c r="B181">
        <v>1238.5</v>
      </c>
      <c r="C181" s="9">
        <f t="shared" si="52"/>
        <v>90081.751532296097</v>
      </c>
      <c r="D181" s="6">
        <f t="shared" si="53"/>
        <v>4.7940292229560609E-2</v>
      </c>
      <c r="E181" s="2">
        <v>72.734559170202743</v>
      </c>
      <c r="F181" s="6">
        <f t="shared" si="54"/>
        <v>-6.5773642415978542E-3</v>
      </c>
      <c r="G181" s="10">
        <f t="shared" si="55"/>
        <v>-3.1697252862279658E-4</v>
      </c>
      <c r="H181" s="2">
        <f t="shared" si="56"/>
        <v>-0.30498926957824585</v>
      </c>
    </row>
    <row r="182" spans="1:8" x14ac:dyDescent="0.35">
      <c r="A182" t="s">
        <v>17</v>
      </c>
      <c r="B182">
        <v>2005.5</v>
      </c>
      <c r="C182" s="9">
        <f t="shared" si="52"/>
        <v>54546.561503995566</v>
      </c>
      <c r="D182" s="6">
        <f t="shared" si="53"/>
        <v>2.9028943755403411E-2</v>
      </c>
      <c r="E182" s="2">
        <v>27.198484918471983</v>
      </c>
      <c r="F182" s="6">
        <f t="shared" si="54"/>
        <v>3.0007501875468868E-3</v>
      </c>
      <c r="G182" s="10">
        <f t="shared" si="55"/>
        <v>8.6728717417631988E-5</v>
      </c>
      <c r="H182" s="2">
        <f t="shared" si="56"/>
        <v>8.3449907446519631E-2</v>
      </c>
    </row>
    <row r="184" spans="1:8" x14ac:dyDescent="0.35">
      <c r="A184" s="14">
        <v>46181</v>
      </c>
      <c r="C184" s="11">
        <f>SUM(C173:C182)</f>
        <v>1879040.517753676</v>
      </c>
      <c r="G184" s="12" t="s">
        <v>18</v>
      </c>
      <c r="H184" s="19">
        <f>SUM(H173:H182)</f>
        <v>-1.3215313976480723</v>
      </c>
    </row>
    <row r="185" spans="1:8" x14ac:dyDescent="0.35">
      <c r="G185" s="12" t="s">
        <v>19</v>
      </c>
      <c r="H185" s="19">
        <f>H184+H169</f>
        <v>960.87311336662731</v>
      </c>
    </row>
    <row r="186" spans="1:8" x14ac:dyDescent="0.35">
      <c r="A186" s="8"/>
      <c r="B186" s="8"/>
      <c r="C186" s="8"/>
      <c r="D186" s="8"/>
      <c r="E186" s="8"/>
      <c r="F186" s="8"/>
      <c r="G186" s="8"/>
      <c r="H186" s="8"/>
    </row>
    <row r="188" spans="1:8" x14ac:dyDescent="0.35">
      <c r="A188" t="s">
        <v>8</v>
      </c>
      <c r="B188">
        <v>280</v>
      </c>
      <c r="C188" s="9">
        <f>B188*E188</f>
        <v>350313.12803889794</v>
      </c>
      <c r="D188" s="6">
        <f>C188/$C$199</f>
        <v>0.1852700226732571</v>
      </c>
      <c r="E188" s="2">
        <v>1251.1183144246354</v>
      </c>
      <c r="F188" s="6">
        <f>(B188-B173)/B173</f>
        <v>1.9681517266058736E-3</v>
      </c>
      <c r="G188" s="10">
        <f>D173*F188</f>
        <v>3.6620555354292193E-4</v>
      </c>
      <c r="H188" s="2">
        <f>G188*$H$185</f>
        <v>0.35187707036493654</v>
      </c>
    </row>
    <row r="189" spans="1:8" x14ac:dyDescent="0.35">
      <c r="A189" t="s">
        <v>9</v>
      </c>
      <c r="B189">
        <v>2132.8000000000002</v>
      </c>
      <c r="C189" s="9">
        <f t="shared" ref="C189:C197" si="57">B189*E189</f>
        <v>501119.90821477748</v>
      </c>
      <c r="D189" s="6">
        <f t="shared" ref="D189:D197" si="58">C189/$C$199</f>
        <v>0.26502716948324967</v>
      </c>
      <c r="E189" s="2">
        <v>234.95869664983937</v>
      </c>
      <c r="F189" s="6">
        <f t="shared" ref="F189:F197" si="59">(B189-B174)/B174</f>
        <v>1.0757783991280164E-2</v>
      </c>
      <c r="G189" s="10">
        <f t="shared" ref="G189:G197" si="60">D174*F189</f>
        <v>2.8384499235426259E-3</v>
      </c>
      <c r="H189" s="2">
        <f t="shared" ref="H189:H197" si="61">G189*$H$185</f>
        <v>2.7273902151696681</v>
      </c>
    </row>
    <row r="190" spans="1:8" x14ac:dyDescent="0.35">
      <c r="A190" t="s">
        <v>10</v>
      </c>
      <c r="B190">
        <v>1410.4</v>
      </c>
      <c r="C190" s="9">
        <f t="shared" si="57"/>
        <v>271969.04145040881</v>
      </c>
      <c r="D190" s="6">
        <f t="shared" si="58"/>
        <v>0.14383620379292869</v>
      </c>
      <c r="E190" s="2">
        <v>192.83114113046568</v>
      </c>
      <c r="F190" s="6">
        <f t="shared" si="59"/>
        <v>8.2207448709700481E-3</v>
      </c>
      <c r="G190" s="10">
        <f t="shared" si="60"/>
        <v>1.1801545001548794E-3</v>
      </c>
      <c r="H190" s="2">
        <f t="shared" si="61"/>
        <v>1.1339787288174548</v>
      </c>
    </row>
    <row r="191" spans="1:8" x14ac:dyDescent="0.35">
      <c r="A191" t="s">
        <v>11</v>
      </c>
      <c r="B191">
        <v>1106.5</v>
      </c>
      <c r="C191" s="9">
        <f t="shared" si="57"/>
        <v>109495.25441459536</v>
      </c>
      <c r="D191" s="6">
        <f t="shared" si="58"/>
        <v>5.7908729774333798E-2</v>
      </c>
      <c r="E191" s="2">
        <v>98.956398024939318</v>
      </c>
      <c r="F191" s="6">
        <f t="shared" si="59"/>
        <v>-4.5167118337850043E-4</v>
      </c>
      <c r="G191" s="10">
        <f t="shared" si="60"/>
        <v>-2.6331629650870447E-5</v>
      </c>
      <c r="H191" s="2">
        <f t="shared" si="61"/>
        <v>-2.5301354962648882E-2</v>
      </c>
    </row>
    <row r="192" spans="1:8" x14ac:dyDescent="0.35">
      <c r="A192" t="s">
        <v>12</v>
      </c>
      <c r="B192">
        <v>529.75</v>
      </c>
      <c r="C192" s="9">
        <f t="shared" si="57"/>
        <v>179176.46051745696</v>
      </c>
      <c r="D192" s="6">
        <f t="shared" si="58"/>
        <v>9.4761013063995703E-2</v>
      </c>
      <c r="E192" s="2">
        <v>338.22833509666248</v>
      </c>
      <c r="F192" s="6">
        <f t="shared" si="59"/>
        <v>1.4555204443167716E-2</v>
      </c>
      <c r="G192" s="10">
        <f t="shared" si="60"/>
        <v>1.3680042140909357E-3</v>
      </c>
      <c r="H192" s="2">
        <f t="shared" si="61"/>
        <v>1.3144784682922235</v>
      </c>
    </row>
    <row r="193" spans="1:8" x14ac:dyDescent="0.35">
      <c r="A193" t="s">
        <v>13</v>
      </c>
      <c r="B193">
        <v>5107.5</v>
      </c>
      <c r="C193" s="9">
        <f t="shared" si="57"/>
        <v>123023.42255765985</v>
      </c>
      <c r="D193" s="6">
        <f t="shared" si="58"/>
        <v>6.506336891853079E-2</v>
      </c>
      <c r="E193" s="2">
        <v>24.086817926120382</v>
      </c>
      <c r="F193" s="6">
        <f t="shared" si="59"/>
        <v>5.7103475435660135E-3</v>
      </c>
      <c r="G193" s="10">
        <f t="shared" si="60"/>
        <v>3.7174170181947079E-4</v>
      </c>
      <c r="H193" s="2">
        <f t="shared" si="61"/>
        <v>0.35719660639548334</v>
      </c>
    </row>
    <row r="194" spans="1:8" x14ac:dyDescent="0.35">
      <c r="A194" t="s">
        <v>14</v>
      </c>
      <c r="B194">
        <v>1013.2</v>
      </c>
      <c r="C194" s="9">
        <f t="shared" si="57"/>
        <v>103674.47242701269</v>
      </c>
      <c r="D194" s="6">
        <f t="shared" si="58"/>
        <v>5.4830294156312132E-2</v>
      </c>
      <c r="E194" s="2">
        <v>102.3237982895901</v>
      </c>
      <c r="F194" s="6">
        <f t="shared" si="59"/>
        <v>-1.9547125991871535E-2</v>
      </c>
      <c r="G194" s="10">
        <f t="shared" si="60"/>
        <v>-1.0999979542328745E-3</v>
      </c>
      <c r="H194" s="2">
        <f t="shared" si="61"/>
        <v>-1.0569584589806629</v>
      </c>
    </row>
    <row r="195" spans="1:8" x14ac:dyDescent="0.35">
      <c r="A195" t="s">
        <v>15</v>
      </c>
      <c r="B195">
        <v>813.2</v>
      </c>
      <c r="C195" s="9">
        <f t="shared" si="57"/>
        <v>105577.6724169021</v>
      </c>
      <c r="D195" s="6">
        <f t="shared" si="58"/>
        <v>5.5836839092987763E-2</v>
      </c>
      <c r="E195" s="2">
        <v>129.82989721704635</v>
      </c>
      <c r="F195" s="6">
        <f t="shared" si="59"/>
        <v>5.1915945611867064E-3</v>
      </c>
      <c r="G195" s="10">
        <f t="shared" si="60"/>
        <v>2.9019361911549911E-4</v>
      </c>
      <c r="H195" s="2">
        <f t="shared" si="61"/>
        <v>0.27883924627863882</v>
      </c>
    </row>
    <row r="196" spans="1:8" x14ac:dyDescent="0.35">
      <c r="A196" t="s">
        <v>16</v>
      </c>
      <c r="B196">
        <v>1257.2</v>
      </c>
      <c r="C196" s="9">
        <f t="shared" si="57"/>
        <v>91441.887788778899</v>
      </c>
      <c r="D196" s="6">
        <f t="shared" si="58"/>
        <v>4.8360849959443605E-2</v>
      </c>
      <c r="E196" s="2">
        <v>72.734559170202743</v>
      </c>
      <c r="F196" s="6">
        <f t="shared" si="59"/>
        <v>1.5098909971740045E-2</v>
      </c>
      <c r="G196" s="10">
        <f t="shared" si="60"/>
        <v>7.2384615639304445E-4</v>
      </c>
      <c r="H196" s="2">
        <f t="shared" si="61"/>
        <v>0.69552430989185121</v>
      </c>
    </row>
    <row r="197" spans="1:8" x14ac:dyDescent="0.35">
      <c r="A197" t="s">
        <v>17</v>
      </c>
      <c r="B197">
        <v>2023.4</v>
      </c>
      <c r="C197" s="9">
        <f t="shared" si="57"/>
        <v>55033.414384036216</v>
      </c>
      <c r="D197" s="6">
        <f t="shared" si="58"/>
        <v>2.9105509084960696E-2</v>
      </c>
      <c r="E197" s="2">
        <v>27.198484918471983</v>
      </c>
      <c r="F197" s="6">
        <f t="shared" si="59"/>
        <v>8.9254549987534734E-3</v>
      </c>
      <c r="G197" s="10">
        <f t="shared" si="60"/>
        <v>2.590965311501988E-4</v>
      </c>
      <c r="H197" s="2">
        <f t="shared" si="61"/>
        <v>0.24895889054878487</v>
      </c>
    </row>
    <row r="199" spans="1:8" x14ac:dyDescent="0.35">
      <c r="A199" s="14">
        <v>46182</v>
      </c>
      <c r="C199" s="11">
        <f>SUM(C188:C197)</f>
        <v>1890824.6622105264</v>
      </c>
      <c r="G199" s="12" t="s">
        <v>18</v>
      </c>
      <c r="H199" s="19">
        <f>SUM(H188:H197)</f>
        <v>6.0259837218157282</v>
      </c>
    </row>
    <row r="200" spans="1:8" x14ac:dyDescent="0.35">
      <c r="G200" s="12" t="s">
        <v>19</v>
      </c>
      <c r="H200" s="19">
        <f>H199+H185</f>
        <v>966.899097088443</v>
      </c>
    </row>
    <row r="201" spans="1:8" x14ac:dyDescent="0.35">
      <c r="A201" s="8"/>
      <c r="B201" s="8"/>
      <c r="C201" s="8"/>
      <c r="D201" s="8"/>
      <c r="E201" s="8"/>
      <c r="F201" s="8"/>
      <c r="G201" s="8"/>
      <c r="H201" s="8"/>
    </row>
    <row r="203" spans="1:8" x14ac:dyDescent="0.35">
      <c r="A203" t="s">
        <v>8</v>
      </c>
      <c r="B203">
        <v>283.64999999999998</v>
      </c>
      <c r="C203" s="9">
        <f>B203*E203</f>
        <v>354879.70988654782</v>
      </c>
      <c r="D203" s="6">
        <f>C203/$C$214</f>
        <v>0.18547821151095831</v>
      </c>
      <c r="E203" s="2">
        <v>1251.1183144246354</v>
      </c>
      <c r="F203" s="6">
        <f>(B203-B188)/B188</f>
        <v>1.3035714285714204E-2</v>
      </c>
      <c r="G203" s="10">
        <f>D188*F203</f>
        <v>2.4151270812763719E-3</v>
      </c>
      <c r="H203" s="2">
        <f>G203*$H$200</f>
        <v>2.3351841942399707</v>
      </c>
    </row>
    <row r="204" spans="1:8" x14ac:dyDescent="0.35">
      <c r="A204" t="s">
        <v>9</v>
      </c>
      <c r="B204">
        <v>2169.5</v>
      </c>
      <c r="C204" s="9">
        <f t="shared" ref="C204:C212" si="62">B204*E204</f>
        <v>509742.89238182653</v>
      </c>
      <c r="D204" s="6">
        <f t="shared" ref="D204:D212" si="63">C204/$C$214</f>
        <v>0.26641759834516809</v>
      </c>
      <c r="E204" s="2">
        <v>234.95869664983937</v>
      </c>
      <c r="F204" s="6">
        <f t="shared" ref="F204:F212" si="64">(B204-B189)/B189</f>
        <v>1.7207426856714093E-2</v>
      </c>
      <c r="G204" s="10">
        <f t="shared" ref="G204:G212" si="65">D189*F204</f>
        <v>4.5604356339249879E-3</v>
      </c>
      <c r="H204" s="2">
        <f t="shared" ref="H204:H212" si="66">G204*$H$200</f>
        <v>4.4094810967720317</v>
      </c>
    </row>
    <row r="205" spans="1:8" x14ac:dyDescent="0.35">
      <c r="A205" t="s">
        <v>10</v>
      </c>
      <c r="B205">
        <v>1438.3</v>
      </c>
      <c r="C205" s="9">
        <f t="shared" si="62"/>
        <v>277349.03028794879</v>
      </c>
      <c r="D205" s="6">
        <f t="shared" si="63"/>
        <v>0.14495672947476484</v>
      </c>
      <c r="E205" s="2">
        <v>192.83114113046568</v>
      </c>
      <c r="F205" s="6">
        <f t="shared" si="64"/>
        <v>1.9781622234826903E-2</v>
      </c>
      <c r="G205" s="10">
        <f t="shared" si="65"/>
        <v>2.8453134471232919E-3</v>
      </c>
      <c r="H205" s="2">
        <f t="shared" si="66"/>
        <v>2.7511310029571163</v>
      </c>
    </row>
    <row r="206" spans="1:8" x14ac:dyDescent="0.35">
      <c r="A206" t="s">
        <v>11</v>
      </c>
      <c r="B206">
        <v>1108</v>
      </c>
      <c r="C206" s="9">
        <f t="shared" si="62"/>
        <v>109643.68901163277</v>
      </c>
      <c r="D206" s="6">
        <f t="shared" si="63"/>
        <v>5.7305376370609576E-2</v>
      </c>
      <c r="E206" s="2">
        <v>98.956398024939318</v>
      </c>
      <c r="F206" s="6">
        <f t="shared" si="64"/>
        <v>1.3556258472661546E-3</v>
      </c>
      <c r="G206" s="10">
        <f t="shared" si="65"/>
        <v>7.8502570864438052E-5</v>
      </c>
      <c r="H206" s="2">
        <f t="shared" si="66"/>
        <v>7.5904064887946668E-2</v>
      </c>
    </row>
    <row r="207" spans="1:8" x14ac:dyDescent="0.35">
      <c r="A207" t="s">
        <v>12</v>
      </c>
      <c r="B207">
        <v>526.25</v>
      </c>
      <c r="C207" s="9">
        <f t="shared" si="62"/>
        <v>177992.66134461862</v>
      </c>
      <c r="D207" s="6">
        <f t="shared" si="63"/>
        <v>9.30280305369664E-2</v>
      </c>
      <c r="E207" s="2">
        <v>338.22833509666248</v>
      </c>
      <c r="F207" s="6">
        <f t="shared" si="64"/>
        <v>-6.6068900424728644E-3</v>
      </c>
      <c r="G207" s="10">
        <f t="shared" si="65"/>
        <v>-6.2607559362715419E-4</v>
      </c>
      <c r="H207" s="2">
        <f t="shared" si="66"/>
        <v>-0.60535192618720635</v>
      </c>
    </row>
    <row r="208" spans="1:8" x14ac:dyDescent="0.35">
      <c r="A208" t="s">
        <v>13</v>
      </c>
      <c r="B208">
        <v>5171</v>
      </c>
      <c r="C208" s="9">
        <f t="shared" si="62"/>
        <v>124552.9354959685</v>
      </c>
      <c r="D208" s="6">
        <f t="shared" si="63"/>
        <v>6.5097707957486414E-2</v>
      </c>
      <c r="E208" s="2">
        <v>24.086817926120382</v>
      </c>
      <c r="F208" s="6">
        <f t="shared" si="64"/>
        <v>1.2432697014194811E-2</v>
      </c>
      <c r="G208" s="10">
        <f t="shared" si="65"/>
        <v>8.0891315248687325E-4</v>
      </c>
      <c r="H208" s="2">
        <f t="shared" si="66"/>
        <v>0.78213739676252381</v>
      </c>
    </row>
    <row r="209" spans="1:8" x14ac:dyDescent="0.35">
      <c r="A209" t="s">
        <v>14</v>
      </c>
      <c r="B209">
        <v>1027.5999999999999</v>
      </c>
      <c r="C209" s="9">
        <f t="shared" si="62"/>
        <v>105147.93512238278</v>
      </c>
      <c r="D209" s="6">
        <f t="shared" si="63"/>
        <v>5.4955666405398819E-2</v>
      </c>
      <c r="E209" s="2">
        <v>102.3237982895901</v>
      </c>
      <c r="F209" s="6">
        <f t="shared" si="64"/>
        <v>1.4212396367943015E-2</v>
      </c>
      <c r="G209" s="10">
        <f t="shared" si="65"/>
        <v>7.7926987352041764E-4</v>
      </c>
      <c r="H209" s="2">
        <f t="shared" si="66"/>
        <v>0.75347533709511705</v>
      </c>
    </row>
    <row r="210" spans="1:8" x14ac:dyDescent="0.35">
      <c r="A210" t="s">
        <v>15</v>
      </c>
      <c r="B210">
        <v>819.9</v>
      </c>
      <c r="C210" s="9">
        <f t="shared" si="62"/>
        <v>106447.53272825629</v>
      </c>
      <c r="D210" s="6">
        <f t="shared" si="63"/>
        <v>5.5634902306764954E-2</v>
      </c>
      <c r="E210" s="2">
        <v>129.82989721704635</v>
      </c>
      <c r="F210" s="6">
        <f t="shared" si="64"/>
        <v>8.2390555828823556E-3</v>
      </c>
      <c r="G210" s="10">
        <f t="shared" si="65"/>
        <v>4.6004282085958459E-4</v>
      </c>
      <c r="H210" s="2">
        <f t="shared" si="66"/>
        <v>0.44481498811115266</v>
      </c>
    </row>
    <row r="211" spans="1:8" x14ac:dyDescent="0.35">
      <c r="A211" t="s">
        <v>16</v>
      </c>
      <c r="B211">
        <v>1259.9000000000001</v>
      </c>
      <c r="C211" s="9">
        <f t="shared" si="62"/>
        <v>91638.271098538447</v>
      </c>
      <c r="D211" s="6">
        <f t="shared" si="63"/>
        <v>4.7894827897450164E-2</v>
      </c>
      <c r="E211" s="2">
        <v>72.734559170202743</v>
      </c>
      <c r="F211" s="6">
        <f t="shared" si="64"/>
        <v>2.1476296531976178E-3</v>
      </c>
      <c r="G211" s="10">
        <f t="shared" si="65"/>
        <v>1.038611954267419E-4</v>
      </c>
      <c r="H211" s="2">
        <f t="shared" si="66"/>
        <v>0.10042329608064307</v>
      </c>
    </row>
    <row r="212" spans="1:8" x14ac:dyDescent="0.35">
      <c r="A212" t="s">
        <v>17</v>
      </c>
      <c r="B212">
        <v>2056.3000000000002</v>
      </c>
      <c r="C212" s="9">
        <f t="shared" si="62"/>
        <v>55928.244537853941</v>
      </c>
      <c r="D212" s="6">
        <f t="shared" si="63"/>
        <v>2.9230949194432636E-2</v>
      </c>
      <c r="E212" s="2">
        <v>27.198484918471983</v>
      </c>
      <c r="F212" s="6">
        <f t="shared" si="64"/>
        <v>1.6259760798655772E-2</v>
      </c>
      <c r="G212" s="10">
        <f t="shared" si="65"/>
        <v>4.7324861564456333E-4</v>
      </c>
      <c r="H212" s="2">
        <f t="shared" si="66"/>
        <v>0.45758365916508387</v>
      </c>
    </row>
    <row r="214" spans="1:8" x14ac:dyDescent="0.35">
      <c r="A214" s="14">
        <v>46183</v>
      </c>
      <c r="C214" s="11">
        <f>SUM(C203:C212)</f>
        <v>1913322.9018955741</v>
      </c>
      <c r="G214" s="12" t="s">
        <v>18</v>
      </c>
      <c r="H214" s="19">
        <f>SUM(H203:H212)</f>
        <v>11.50478310988438</v>
      </c>
    </row>
    <row r="215" spans="1:8" x14ac:dyDescent="0.35">
      <c r="G215" s="12" t="s">
        <v>19</v>
      </c>
      <c r="H215" s="19">
        <f>H214+H200</f>
        <v>978.40388019832733</v>
      </c>
    </row>
    <row r="216" spans="1:8" x14ac:dyDescent="0.35">
      <c r="A216" s="8"/>
      <c r="B216" s="8"/>
      <c r="C216" s="8"/>
      <c r="D216" s="8"/>
      <c r="E216" s="8"/>
      <c r="F216" s="8"/>
      <c r="G216" s="8"/>
      <c r="H216" s="8"/>
    </row>
    <row r="218" spans="1:8" x14ac:dyDescent="0.35">
      <c r="A218" t="s">
        <v>8</v>
      </c>
      <c r="B218">
        <v>282.39999999999998</v>
      </c>
      <c r="C218" s="9">
        <f>B218*E218</f>
        <v>353315.81199351698</v>
      </c>
      <c r="D218" s="6">
        <f>C218/$C$229</f>
        <v>0.1865204017080653</v>
      </c>
      <c r="E218" s="2">
        <v>1251.1183144246354</v>
      </c>
      <c r="F218" s="6">
        <f>(B218-B203)/B203</f>
        <v>-4.4068394147717257E-3</v>
      </c>
      <c r="G218" s="10">
        <f>D203*F218</f>
        <v>-8.173726930678579E-4</v>
      </c>
      <c r="H218" s="2">
        <f>G218*$H$215</f>
        <v>-0.7997206144657486</v>
      </c>
    </row>
    <row r="219" spans="1:8" x14ac:dyDescent="0.35">
      <c r="A219" t="s">
        <v>9</v>
      </c>
      <c r="B219">
        <v>2139.8000000000002</v>
      </c>
      <c r="C219" s="9">
        <f t="shared" ref="C219:C227" si="67">B219*E219</f>
        <v>502764.61909132631</v>
      </c>
      <c r="D219" s="6">
        <f t="shared" ref="D219:D227" si="68">C219/$C$229</f>
        <v>0.26541653538913035</v>
      </c>
      <c r="E219" s="2">
        <v>234.95869664983937</v>
      </c>
      <c r="F219" s="6">
        <f t="shared" ref="F219:F227" si="69">(B219-B204)/B204</f>
        <v>-1.3689790274256658E-2</v>
      </c>
      <c r="G219" s="10">
        <f t="shared" ref="G219:G227" si="70">D204*F219</f>
        <v>-3.6472010467164988E-3</v>
      </c>
      <c r="H219" s="2">
        <f t="shared" ref="H219:H227" si="71">G219*$H$215</f>
        <v>-3.5684356559708235</v>
      </c>
    </row>
    <row r="220" spans="1:8" x14ac:dyDescent="0.35">
      <c r="A220" t="s">
        <v>10</v>
      </c>
      <c r="B220">
        <v>1422.5</v>
      </c>
      <c r="C220" s="9">
        <f t="shared" si="67"/>
        <v>274302.29825808742</v>
      </c>
      <c r="D220" s="6">
        <f t="shared" si="68"/>
        <v>0.14480805308957642</v>
      </c>
      <c r="E220" s="2">
        <v>192.83114113046568</v>
      </c>
      <c r="F220" s="6">
        <f t="shared" si="69"/>
        <v>-1.0985190850309362E-2</v>
      </c>
      <c r="G220" s="10">
        <f t="shared" si="70"/>
        <v>-1.5923773383169561E-3</v>
      </c>
      <c r="H220" s="2">
        <f t="shared" si="71"/>
        <v>-1.5579881665491946</v>
      </c>
    </row>
    <row r="221" spans="1:8" x14ac:dyDescent="0.35">
      <c r="A221" t="s">
        <v>11</v>
      </c>
      <c r="B221">
        <v>1108.5999999999999</v>
      </c>
      <c r="C221" s="9">
        <f t="shared" si="67"/>
        <v>109703.06285044772</v>
      </c>
      <c r="D221" s="6">
        <f t="shared" si="68"/>
        <v>5.7913794562486492E-2</v>
      </c>
      <c r="E221" s="2">
        <v>98.956398024939318</v>
      </c>
      <c r="F221" s="6">
        <f t="shared" si="69"/>
        <v>5.4151624548728254E-4</v>
      </c>
      <c r="G221" s="10">
        <f t="shared" si="70"/>
        <v>3.1031792258448138E-5</v>
      </c>
      <c r="H221" s="2">
        <f t="shared" si="71"/>
        <v>3.0361625955174072E-2</v>
      </c>
    </row>
    <row r="222" spans="1:8" x14ac:dyDescent="0.35">
      <c r="A222" t="s">
        <v>12</v>
      </c>
      <c r="B222">
        <v>519.9</v>
      </c>
      <c r="C222" s="9">
        <f t="shared" si="67"/>
        <v>175844.91141675483</v>
      </c>
      <c r="D222" s="6">
        <f t="shared" si="68"/>
        <v>9.283100954557362E-2</v>
      </c>
      <c r="E222" s="2">
        <v>338.22833509666248</v>
      </c>
      <c r="F222" s="6">
        <f t="shared" si="69"/>
        <v>-1.2066508313539236E-2</v>
      </c>
      <c r="G222" s="10">
        <f t="shared" si="70"/>
        <v>-1.122523503866487E-3</v>
      </c>
      <c r="H222" s="2">
        <f t="shared" si="71"/>
        <v>-1.0982813517967929</v>
      </c>
    </row>
    <row r="223" spans="1:8" x14ac:dyDescent="0.35">
      <c r="A223" t="s">
        <v>13</v>
      </c>
      <c r="B223">
        <v>5113</v>
      </c>
      <c r="C223" s="9">
        <f t="shared" si="67"/>
        <v>123155.90005625351</v>
      </c>
      <c r="D223" s="6">
        <f t="shared" si="68"/>
        <v>6.5015737115191E-2</v>
      </c>
      <c r="E223" s="2">
        <v>24.086817926120382</v>
      </c>
      <c r="F223" s="6">
        <f t="shared" si="69"/>
        <v>-1.1216399149100754E-2</v>
      </c>
      <c r="G223" s="10">
        <f t="shared" si="70"/>
        <v>-7.3016187614276002E-4</v>
      </c>
      <c r="H223" s="2">
        <f t="shared" si="71"/>
        <v>-0.7143932127909669</v>
      </c>
    </row>
    <row r="224" spans="1:8" x14ac:dyDescent="0.35">
      <c r="A224" t="s">
        <v>14</v>
      </c>
      <c r="B224">
        <v>1008.9</v>
      </c>
      <c r="C224" s="9">
        <f t="shared" si="67"/>
        <v>103234.48009436745</v>
      </c>
      <c r="D224" s="6">
        <f t="shared" si="68"/>
        <v>5.4498938467203405E-2</v>
      </c>
      <c r="E224" s="2">
        <v>102.3237982895901</v>
      </c>
      <c r="F224" s="6">
        <f t="shared" si="69"/>
        <v>-1.8197742312183664E-2</v>
      </c>
      <c r="G224" s="10">
        <f t="shared" si="70"/>
        <v>-1.0000690558397763E-3</v>
      </c>
      <c r="H224" s="2">
        <f t="shared" si="71"/>
        <v>-0.97847144469991476</v>
      </c>
    </row>
    <row r="225" spans="1:8" x14ac:dyDescent="0.35">
      <c r="A225" t="s">
        <v>15</v>
      </c>
      <c r="B225">
        <v>810.8</v>
      </c>
      <c r="C225" s="9">
        <f t="shared" si="67"/>
        <v>105266.08066358118</v>
      </c>
      <c r="D225" s="6">
        <f t="shared" si="68"/>
        <v>5.5571449069381128E-2</v>
      </c>
      <c r="E225" s="2">
        <v>129.82989721704635</v>
      </c>
      <c r="F225" s="6">
        <f t="shared" si="69"/>
        <v>-1.1098914501768536E-2</v>
      </c>
      <c r="G225" s="10">
        <f t="shared" si="70"/>
        <v>-6.1748702401702936E-4</v>
      </c>
      <c r="H225" s="2">
        <f t="shared" si="71"/>
        <v>-0.60415170027037923</v>
      </c>
    </row>
    <row r="226" spans="1:8" x14ac:dyDescent="0.35">
      <c r="A226" t="s">
        <v>16</v>
      </c>
      <c r="B226" s="40">
        <v>1257.8</v>
      </c>
      <c r="C226" s="9">
        <f t="shared" si="67"/>
        <v>91485.528524281006</v>
      </c>
      <c r="D226" s="6">
        <f t="shared" si="68"/>
        <v>4.8296501179903792E-2</v>
      </c>
      <c r="E226" s="2">
        <v>72.734559170202743</v>
      </c>
      <c r="F226" s="6">
        <f t="shared" si="69"/>
        <v>-1.6667989522979095E-3</v>
      </c>
      <c r="G226" s="10">
        <f t="shared" si="70"/>
        <v>-7.9831048959958621E-5</v>
      </c>
      <c r="H226" s="2">
        <f t="shared" si="71"/>
        <v>-7.8107008062726163E-2</v>
      </c>
    </row>
    <row r="227" spans="1:8" x14ac:dyDescent="0.35">
      <c r="A227" t="s">
        <v>17</v>
      </c>
      <c r="B227">
        <v>2028.6</v>
      </c>
      <c r="C227" s="9">
        <f t="shared" si="67"/>
        <v>55174.846505612266</v>
      </c>
      <c r="D227" s="6">
        <f t="shared" si="68"/>
        <v>2.9127579873488588E-2</v>
      </c>
      <c r="E227" s="2">
        <v>27.198484918471983</v>
      </c>
      <c r="F227" s="6">
        <f t="shared" si="69"/>
        <v>-1.3470797062685537E-2</v>
      </c>
      <c r="G227" s="10">
        <f t="shared" si="70"/>
        <v>-3.937641845478733E-4</v>
      </c>
      <c r="H227" s="2">
        <f t="shared" si="71"/>
        <v>-0.38526040604476947</v>
      </c>
    </row>
    <row r="229" spans="1:8" x14ac:dyDescent="0.35">
      <c r="A229" s="14">
        <v>46184</v>
      </c>
      <c r="C229" s="11">
        <f>SUM(C218:C227)</f>
        <v>1894247.5394542285</v>
      </c>
      <c r="G229" s="12" t="s">
        <v>18</v>
      </c>
      <c r="H229" s="19">
        <f>SUM(H218:H227)</f>
        <v>-9.7544479346961417</v>
      </c>
    </row>
    <row r="230" spans="1:8" x14ac:dyDescent="0.35">
      <c r="G230" s="12" t="s">
        <v>19</v>
      </c>
      <c r="H230" s="19">
        <f>H229+H215</f>
        <v>968.64943226363118</v>
      </c>
    </row>
    <row r="231" spans="1:8" x14ac:dyDescent="0.35">
      <c r="A231" s="8"/>
      <c r="B231" s="8"/>
      <c r="C231" s="8"/>
      <c r="D231" s="8"/>
      <c r="E231" s="8"/>
      <c r="F231" s="8"/>
      <c r="G231" s="8"/>
      <c r="H231" s="8"/>
    </row>
    <row r="233" spans="1:8" x14ac:dyDescent="0.35">
      <c r="A233" t="s">
        <v>8</v>
      </c>
      <c r="B233">
        <v>285.10000000000002</v>
      </c>
      <c r="C233" s="9">
        <f>B233*E233</f>
        <v>356693.83144246356</v>
      </c>
      <c r="D233" s="6">
        <f>C233/$C$244</f>
        <v>0.18684511653060226</v>
      </c>
      <c r="E233" s="2">
        <v>1251.1183144246354</v>
      </c>
      <c r="F233" s="6">
        <f>(B233-B218)/B218</f>
        <v>9.5609065155808984E-3</v>
      </c>
      <c r="G233" s="10">
        <f>D218*F233</f>
        <v>1.783304123979408E-3</v>
      </c>
      <c r="H233" s="2">
        <f>G233*$H$230</f>
        <v>1.7273965272460456</v>
      </c>
    </row>
    <row r="234" spans="1:8" x14ac:dyDescent="0.35">
      <c r="A234" t="s">
        <v>9</v>
      </c>
      <c r="B234">
        <v>2168.8000000000002</v>
      </c>
      <c r="C234" s="9">
        <f t="shared" ref="C234:C242" si="72">B234*E234</f>
        <v>509578.42129417165</v>
      </c>
      <c r="D234" s="6">
        <f t="shared" ref="D234:D242" si="73">C234/$C$244</f>
        <v>0.26692987406917923</v>
      </c>
      <c r="E234" s="2">
        <v>234.95869664983937</v>
      </c>
      <c r="F234" s="6">
        <f t="shared" ref="F234:F242" si="74">(B234-B219)/B219</f>
        <v>1.3552668473689128E-2</v>
      </c>
      <c r="G234" s="10">
        <f t="shared" ref="G234:G242" si="75">D219*F234</f>
        <v>3.5971023115640615E-3</v>
      </c>
      <c r="H234" s="2">
        <f t="shared" ref="H234:H242" si="76">G234*$H$230</f>
        <v>3.4843311118907234</v>
      </c>
    </row>
    <row r="235" spans="1:8" x14ac:dyDescent="0.35">
      <c r="A235" t="s">
        <v>10</v>
      </c>
      <c r="B235">
        <v>1375.7</v>
      </c>
      <c r="C235" s="9">
        <f t="shared" si="72"/>
        <v>265277.80085318163</v>
      </c>
      <c r="D235" s="6">
        <f t="shared" si="73"/>
        <v>0.1389591219252409</v>
      </c>
      <c r="E235" s="2">
        <v>192.83114113046568</v>
      </c>
      <c r="F235" s="6">
        <f t="shared" si="74"/>
        <v>-3.2899824253075541E-2</v>
      </c>
      <c r="G235" s="10">
        <f t="shared" si="75"/>
        <v>-4.7641594970770969E-3</v>
      </c>
      <c r="H235" s="2">
        <f t="shared" si="76"/>
        <v>-4.6148003920571163</v>
      </c>
    </row>
    <row r="236" spans="1:8" x14ac:dyDescent="0.35">
      <c r="A236" t="s">
        <v>11</v>
      </c>
      <c r="B236">
        <v>1100.7</v>
      </c>
      <c r="C236" s="9">
        <f t="shared" si="72"/>
        <v>108921.30730605072</v>
      </c>
      <c r="D236" s="6">
        <f t="shared" si="73"/>
        <v>5.7055694722736937E-2</v>
      </c>
      <c r="E236" s="2">
        <v>98.956398024939318</v>
      </c>
      <c r="F236" s="6">
        <f t="shared" si="74"/>
        <v>-7.1261049972937618E-3</v>
      </c>
      <c r="G236" s="10">
        <f t="shared" si="75"/>
        <v>-4.1269978084397931E-4</v>
      </c>
      <c r="H236" s="2">
        <f t="shared" si="76"/>
        <v>-0.39976140840984559</v>
      </c>
    </row>
    <row r="237" spans="1:8" x14ac:dyDescent="0.35">
      <c r="A237" t="s">
        <v>12</v>
      </c>
      <c r="B237">
        <v>541</v>
      </c>
      <c r="C237" s="9">
        <f t="shared" si="72"/>
        <v>182981.5292872944</v>
      </c>
      <c r="D237" s="6">
        <f t="shared" si="73"/>
        <v>9.5850284330322708E-2</v>
      </c>
      <c r="E237" s="2">
        <v>338.22833509666248</v>
      </c>
      <c r="F237" s="6">
        <f t="shared" si="74"/>
        <v>4.0584727832275486E-2</v>
      </c>
      <c r="G237" s="10">
        <f t="shared" si="75"/>
        <v>3.7675212568024732E-3</v>
      </c>
      <c r="H237" s="2">
        <f t="shared" si="76"/>
        <v>3.6494073264428777</v>
      </c>
    </row>
    <row r="238" spans="1:8" x14ac:dyDescent="0.35">
      <c r="A238" t="s">
        <v>13</v>
      </c>
      <c r="B238">
        <v>5165.5</v>
      </c>
      <c r="C238" s="9">
        <f t="shared" si="72"/>
        <v>124420.45799737483</v>
      </c>
      <c r="D238" s="6">
        <f t="shared" si="73"/>
        <v>6.5174536042012593E-2</v>
      </c>
      <c r="E238" s="2">
        <v>24.086817926120382</v>
      </c>
      <c r="F238" s="6">
        <f t="shared" si="74"/>
        <v>1.0267944455309994E-2</v>
      </c>
      <c r="G238" s="10">
        <f t="shared" si="75"/>
        <v>6.6757797741981764E-4</v>
      </c>
      <c r="H238" s="2">
        <f t="shared" si="76"/>
        <v>0.64664902881940955</v>
      </c>
    </row>
    <row r="239" spans="1:8" x14ac:dyDescent="0.35">
      <c r="A239" t="s">
        <v>14</v>
      </c>
      <c r="B239">
        <v>1033.3</v>
      </c>
      <c r="C239" s="9">
        <f t="shared" si="72"/>
        <v>105731.18077263345</v>
      </c>
      <c r="D239" s="6">
        <f t="shared" si="73"/>
        <v>5.5384626957215841E-2</v>
      </c>
      <c r="E239" s="2">
        <v>102.3237982895901</v>
      </c>
      <c r="F239" s="6">
        <f t="shared" si="74"/>
        <v>2.4184755674496954E-2</v>
      </c>
      <c r="G239" s="10">
        <f t="shared" si="75"/>
        <v>1.3180435113487579E-3</v>
      </c>
      <c r="H239" s="2">
        <f t="shared" si="76"/>
        <v>1.2767220989667372</v>
      </c>
    </row>
    <row r="240" spans="1:8" x14ac:dyDescent="0.35">
      <c r="A240" t="s">
        <v>15</v>
      </c>
      <c r="B240">
        <v>819.05</v>
      </c>
      <c r="C240" s="9">
        <f t="shared" si="72"/>
        <v>106337.17731562181</v>
      </c>
      <c r="D240" s="6">
        <f t="shared" si="73"/>
        <v>5.5702063045846566E-2</v>
      </c>
      <c r="E240" s="2">
        <v>129.82989721704635</v>
      </c>
      <c r="F240" s="6">
        <f t="shared" si="74"/>
        <v>1.0175135668475581E-2</v>
      </c>
      <c r="G240" s="10">
        <f t="shared" si="75"/>
        <v>5.6544703357473399E-4</v>
      </c>
      <c r="H240" s="2">
        <f t="shared" si="76"/>
        <v>0.54771994804732049</v>
      </c>
    </row>
    <row r="241" spans="1:8" x14ac:dyDescent="0.35">
      <c r="A241" t="s">
        <v>16</v>
      </c>
      <c r="B241" s="40">
        <v>1272.4000000000001</v>
      </c>
      <c r="C241" s="9">
        <f t="shared" si="72"/>
        <v>92547.453088165974</v>
      </c>
      <c r="D241" s="6">
        <f t="shared" si="73"/>
        <v>4.8478661901553262E-2</v>
      </c>
      <c r="E241" s="2">
        <v>72.734559170202743</v>
      </c>
      <c r="F241" s="6">
        <f t="shared" si="74"/>
        <v>1.1607568770869882E-2</v>
      </c>
      <c r="G241" s="10">
        <f t="shared" si="75"/>
        <v>5.6060495883813164E-4</v>
      </c>
      <c r="H241" s="2">
        <f t="shared" si="76"/>
        <v>0.54302967510273259</v>
      </c>
    </row>
    <row r="242" spans="1:8" x14ac:dyDescent="0.35">
      <c r="A242" t="s">
        <v>17</v>
      </c>
      <c r="B242">
        <v>2079</v>
      </c>
      <c r="C242" s="9">
        <f t="shared" si="72"/>
        <v>56545.650145503256</v>
      </c>
      <c r="D242" s="6">
        <f t="shared" si="73"/>
        <v>2.9620020475289475E-2</v>
      </c>
      <c r="E242" s="2">
        <v>27.198484918471983</v>
      </c>
      <c r="F242" s="6">
        <f t="shared" si="74"/>
        <v>2.4844720496894457E-2</v>
      </c>
      <c r="G242" s="10">
        <f t="shared" si="75"/>
        <v>7.2366658070779238E-4</v>
      </c>
      <c r="H242" s="2">
        <f t="shared" si="76"/>
        <v>0.70097922255076628</v>
      </c>
    </row>
    <row r="244" spans="1:8" x14ac:dyDescent="0.35">
      <c r="A244" s="14">
        <v>46185</v>
      </c>
      <c r="C244" s="11">
        <f>SUM(C233:C242)</f>
        <v>1909034.8095024617</v>
      </c>
      <c r="G244" s="12" t="s">
        <v>18</v>
      </c>
      <c r="H244" s="19">
        <f>SUM(H233:H242)</f>
        <v>7.5616731385996516</v>
      </c>
    </row>
    <row r="245" spans="1:8" x14ac:dyDescent="0.35">
      <c r="G245" s="12" t="s">
        <v>19</v>
      </c>
      <c r="H245" s="19">
        <f>H244+H230</f>
        <v>976.21110540223083</v>
      </c>
    </row>
    <row r="246" spans="1:8" x14ac:dyDescent="0.35">
      <c r="A246" s="8"/>
      <c r="B246" s="8"/>
      <c r="C246" s="8"/>
      <c r="D246" s="8"/>
      <c r="E246" s="8"/>
      <c r="F246" s="8"/>
      <c r="G246" s="8"/>
      <c r="H246" s="8"/>
    </row>
    <row r="248" spans="1:8" x14ac:dyDescent="0.35">
      <c r="A248" t="s">
        <v>8</v>
      </c>
      <c r="B248">
        <v>287.89999999999998</v>
      </c>
      <c r="C248" s="9">
        <f>B248*E248</f>
        <v>360196.96272285248</v>
      </c>
      <c r="D248" s="6">
        <f>C248/$C$259</f>
        <v>0.18794082424776995</v>
      </c>
      <c r="E248" s="2">
        <v>1251.1183144246354</v>
      </c>
      <c r="F248" s="6">
        <f>(B248-B233)/B233</f>
        <v>9.8211153981057672E-3</v>
      </c>
      <c r="G248" s="10">
        <f>D233*F248</f>
        <v>1.8350274510195643E-3</v>
      </c>
      <c r="H248" s="2">
        <f>G248*$H$245</f>
        <v>1.7913741764032469</v>
      </c>
    </row>
    <row r="249" spans="1:8" x14ac:dyDescent="0.35">
      <c r="A249" t="s">
        <v>9</v>
      </c>
      <c r="B249">
        <v>2155.9</v>
      </c>
      <c r="C249" s="9">
        <f t="shared" ref="C249:C257" si="77">B249*E249</f>
        <v>506547.45410738874</v>
      </c>
      <c r="D249" s="6">
        <f t="shared" ref="D249:D257" si="78">C249/$C$259</f>
        <v>0.26430246753302816</v>
      </c>
      <c r="E249" s="2">
        <v>234.95869664983937</v>
      </c>
      <c r="F249" s="6">
        <f t="shared" ref="F249:F257" si="79">(B249-B234)/B234</f>
        <v>-5.9479896717078984E-3</v>
      </c>
      <c r="G249" s="10">
        <f t="shared" ref="G249:G257" si="80">D234*F249</f>
        <v>-1.587696134033768E-3</v>
      </c>
      <c r="H249" s="2">
        <f t="shared" ref="H249:H257" si="81">G249*$H$245</f>
        <v>-1.5499265980479531</v>
      </c>
    </row>
    <row r="250" spans="1:8" x14ac:dyDescent="0.35">
      <c r="A250" t="s">
        <v>10</v>
      </c>
      <c r="B250">
        <v>1374.4</v>
      </c>
      <c r="C250" s="9">
        <f t="shared" si="77"/>
        <v>265027.12036971207</v>
      </c>
      <c r="D250" s="6">
        <f t="shared" si="78"/>
        <v>0.13828382969631436</v>
      </c>
      <c r="E250" s="2">
        <v>192.83114113046568</v>
      </c>
      <c r="F250" s="6">
        <f t="shared" si="79"/>
        <v>-9.4497346805259461E-4</v>
      </c>
      <c r="G250" s="10">
        <f t="shared" si="80"/>
        <v>-1.3131268336323822E-4</v>
      </c>
      <c r="H250" s="2">
        <f t="shared" si="81"/>
        <v>-0.1281888997793599</v>
      </c>
    </row>
    <row r="251" spans="1:8" x14ac:dyDescent="0.35">
      <c r="A251" t="s">
        <v>11</v>
      </c>
      <c r="B251">
        <v>1171.2</v>
      </c>
      <c r="C251" s="9">
        <f t="shared" si="77"/>
        <v>115897.73336680893</v>
      </c>
      <c r="D251" s="6">
        <f t="shared" si="78"/>
        <v>6.0472235447932052E-2</v>
      </c>
      <c r="E251" s="2">
        <v>98.956398024939318</v>
      </c>
      <c r="F251" s="6">
        <f t="shared" si="79"/>
        <v>6.4050149904606155E-2</v>
      </c>
      <c r="G251" s="10">
        <f t="shared" si="80"/>
        <v>3.6544257999027471E-3</v>
      </c>
      <c r="H251" s="2">
        <f t="shared" si="81"/>
        <v>3.5674910497334924</v>
      </c>
    </row>
    <row r="252" spans="1:8" x14ac:dyDescent="0.35">
      <c r="A252" t="s">
        <v>12</v>
      </c>
      <c r="B252">
        <v>540</v>
      </c>
      <c r="C252" s="9">
        <f t="shared" si="77"/>
        <v>182643.30095219775</v>
      </c>
      <c r="D252" s="6">
        <f t="shared" si="78"/>
        <v>9.5298228682458991E-2</v>
      </c>
      <c r="E252" s="2">
        <v>338.22833509666248</v>
      </c>
      <c r="F252" s="6">
        <f t="shared" si="79"/>
        <v>-1.8484288354898336E-3</v>
      </c>
      <c r="G252" s="10">
        <f t="shared" si="80"/>
        <v>-1.7717242944606786E-4</v>
      </c>
      <c r="H252" s="2">
        <f t="shared" si="81"/>
        <v>-0.17295769319634466</v>
      </c>
    </row>
    <row r="253" spans="1:8" x14ac:dyDescent="0.35">
      <c r="A253" t="s">
        <v>13</v>
      </c>
      <c r="B253">
        <v>5199.5</v>
      </c>
      <c r="C253" s="9">
        <f t="shared" si="77"/>
        <v>125239.40980686292</v>
      </c>
      <c r="D253" s="6">
        <f t="shared" si="78"/>
        <v>6.5346464138612614E-2</v>
      </c>
      <c r="E253" s="2">
        <v>24.086817926120382</v>
      </c>
      <c r="F253" s="6">
        <f t="shared" si="79"/>
        <v>6.5821314490368795E-3</v>
      </c>
      <c r="G253" s="10">
        <f t="shared" si="80"/>
        <v>4.2898736335851865E-4</v>
      </c>
      <c r="H253" s="2">
        <f t="shared" si="81"/>
        <v>0.41878222818780797</v>
      </c>
    </row>
    <row r="254" spans="1:8" x14ac:dyDescent="0.35">
      <c r="A254" t="s">
        <v>14</v>
      </c>
      <c r="B254">
        <v>1036.8</v>
      </c>
      <c r="C254" s="9">
        <f t="shared" si="77"/>
        <v>106089.31406664701</v>
      </c>
      <c r="D254" s="6">
        <f t="shared" si="78"/>
        <v>5.5354473227214665E-2</v>
      </c>
      <c r="E254" s="2">
        <v>102.3237982895901</v>
      </c>
      <c r="F254" s="6">
        <f t="shared" si="79"/>
        <v>3.387206038904481E-3</v>
      </c>
      <c r="G254" s="10">
        <f t="shared" si="80"/>
        <v>1.8759914289195341E-4</v>
      </c>
      <c r="H254" s="2">
        <f t="shared" si="81"/>
        <v>0.18313636665506489</v>
      </c>
    </row>
    <row r="255" spans="1:8" x14ac:dyDescent="0.35">
      <c r="A255" t="s">
        <v>15</v>
      </c>
      <c r="B255">
        <v>809.65</v>
      </c>
      <c r="C255" s="9">
        <f t="shared" si="77"/>
        <v>105116.77628178158</v>
      </c>
      <c r="D255" s="6">
        <f t="shared" si="78"/>
        <v>5.4847029878669976E-2</v>
      </c>
      <c r="E255" s="2">
        <v>129.82989721704635</v>
      </c>
      <c r="F255" s="6">
        <f t="shared" si="79"/>
        <v>-1.1476710823515021E-2</v>
      </c>
      <c r="G255" s="10">
        <f t="shared" si="80"/>
        <v>-6.3927646985038335E-4</v>
      </c>
      <c r="H255" s="2">
        <f t="shared" si="81"/>
        <v>-0.62406878929027865</v>
      </c>
    </row>
    <row r="256" spans="1:8" x14ac:dyDescent="0.35">
      <c r="A256" t="s">
        <v>16</v>
      </c>
      <c r="B256" s="40">
        <v>1271.5</v>
      </c>
      <c r="C256" s="9">
        <f t="shared" si="77"/>
        <v>92481.991984912791</v>
      </c>
      <c r="D256" s="6">
        <f t="shared" si="78"/>
        <v>4.825454848461283E-2</v>
      </c>
      <c r="E256" s="2">
        <v>72.734559170202743</v>
      </c>
      <c r="F256" s="6">
        <f t="shared" si="79"/>
        <v>-7.0732474064766652E-4</v>
      </c>
      <c r="G256" s="10">
        <f t="shared" si="80"/>
        <v>-3.4290156956462074E-5</v>
      </c>
      <c r="H256" s="2">
        <f t="shared" si="81"/>
        <v>-3.3474432026883834E-2</v>
      </c>
    </row>
    <row r="257" spans="1:8" x14ac:dyDescent="0.35">
      <c r="A257" t="s">
        <v>17</v>
      </c>
      <c r="B257">
        <v>2106.9</v>
      </c>
      <c r="C257" s="9">
        <f t="shared" si="77"/>
        <v>57304.487874728628</v>
      </c>
      <c r="D257" s="6">
        <f t="shared" si="78"/>
        <v>2.9899898663386344E-2</v>
      </c>
      <c r="E257" s="2">
        <v>27.198484918471983</v>
      </c>
      <c r="F257" s="6">
        <f t="shared" si="79"/>
        <v>1.3419913419913464E-2</v>
      </c>
      <c r="G257" s="10">
        <f t="shared" si="80"/>
        <v>3.9749811027444879E-4</v>
      </c>
      <c r="H257" s="2">
        <f t="shared" si="81"/>
        <v>0.38804206962631749</v>
      </c>
    </row>
    <row r="259" spans="1:8" x14ac:dyDescent="0.35">
      <c r="A259" s="14">
        <v>46188</v>
      </c>
      <c r="C259" s="11">
        <f>SUM(C248:C257)</f>
        <v>1916544.551533893</v>
      </c>
      <c r="G259" s="12" t="s">
        <v>18</v>
      </c>
      <c r="H259" s="19">
        <f>SUM(H248:H257)</f>
        <v>3.8402094782651095</v>
      </c>
    </row>
    <row r="260" spans="1:8" x14ac:dyDescent="0.35">
      <c r="G260" s="12" t="s">
        <v>19</v>
      </c>
      <c r="H260" s="19">
        <f>H259+H245</f>
        <v>980.05131488049597</v>
      </c>
    </row>
    <row r="261" spans="1:8" x14ac:dyDescent="0.35">
      <c r="A261" s="8"/>
      <c r="B261" s="8"/>
      <c r="C261" s="8"/>
      <c r="D261" s="8"/>
      <c r="E261" s="8"/>
      <c r="F261" s="8"/>
      <c r="G261" s="8"/>
      <c r="H261" s="8"/>
    </row>
    <row r="263" spans="1:8" x14ac:dyDescent="0.35">
      <c r="A263" t="s">
        <v>8</v>
      </c>
      <c r="B263">
        <v>285.10000000000002</v>
      </c>
      <c r="C263" s="9">
        <f>B263*E263</f>
        <v>356693.83144246356</v>
      </c>
      <c r="D263" s="6">
        <f>C263/$C$274</f>
        <v>0.18950055222545556</v>
      </c>
      <c r="E263" s="2">
        <v>1251.1183144246354</v>
      </c>
      <c r="F263" s="6">
        <f>(B263-B248)/B248</f>
        <v>-9.7255991663770577E-3</v>
      </c>
      <c r="G263" s="10">
        <f>D248*F263</f>
        <v>-1.8278371236323285E-3</v>
      </c>
      <c r="H263" s="2">
        <f>G263*$H$260</f>
        <v>-1.7913741764032471</v>
      </c>
    </row>
    <row r="264" spans="1:8" x14ac:dyDescent="0.35">
      <c r="A264" t="s">
        <v>9</v>
      </c>
      <c r="B264">
        <v>2168.8000000000002</v>
      </c>
      <c r="C264" s="9">
        <f t="shared" ref="C264:C272" si="82">B264*E264</f>
        <v>509578.42129417165</v>
      </c>
      <c r="D264" s="6">
        <f t="shared" ref="D264:D272" si="83">C264/$C$259</f>
        <v>0.26588394247675284</v>
      </c>
      <c r="E264" s="2">
        <v>234.95869664983937</v>
      </c>
      <c r="F264" s="6">
        <f t="shared" ref="F264:F272" si="84">(B264-B249)/B249</f>
        <v>5.9835799434111462E-3</v>
      </c>
      <c r="G264" s="10">
        <f t="shared" ref="G264:G272" si="85">D249*F264</f>
        <v>1.581474943724703E-3</v>
      </c>
      <c r="H264" s="2">
        <f t="shared" ref="H264:H272" si="86">G264*$H$260</f>
        <v>1.5499265980479535</v>
      </c>
    </row>
    <row r="265" spans="1:8" x14ac:dyDescent="0.35">
      <c r="A265" t="s">
        <v>10</v>
      </c>
      <c r="B265">
        <v>1375.7</v>
      </c>
      <c r="C265" s="9">
        <f t="shared" si="82"/>
        <v>265277.80085318163</v>
      </c>
      <c r="D265" s="6">
        <f t="shared" si="83"/>
        <v>0.13841462784722036</v>
      </c>
      <c r="E265" s="2">
        <v>192.83114113046568</v>
      </c>
      <c r="F265" s="6">
        <f t="shared" si="84"/>
        <v>9.4586728754362224E-4</v>
      </c>
      <c r="G265" s="10">
        <f t="shared" si="85"/>
        <v>1.3079815090599707E-4</v>
      </c>
      <c r="H265" s="2">
        <f t="shared" si="86"/>
        <v>0.12818889977935996</v>
      </c>
    </row>
    <row r="266" spans="1:8" x14ac:dyDescent="0.35">
      <c r="A266" t="s">
        <v>11</v>
      </c>
      <c r="B266">
        <v>1206.3499999999999</v>
      </c>
      <c r="C266" s="9">
        <f t="shared" si="82"/>
        <v>119376.05075738554</v>
      </c>
      <c r="D266" s="6">
        <f t="shared" si="83"/>
        <v>6.2287125369375709E-2</v>
      </c>
      <c r="E266" s="2">
        <v>98.956398024939318</v>
      </c>
      <c r="F266" s="6">
        <f t="shared" si="84"/>
        <v>3.0011953551912451E-2</v>
      </c>
      <c r="G266" s="10">
        <f t="shared" si="85"/>
        <v>1.8148899214436504E-3</v>
      </c>
      <c r="H266" s="2">
        <f t="shared" si="86"/>
        <v>1.7786852538742097</v>
      </c>
    </row>
    <row r="267" spans="1:8" x14ac:dyDescent="0.35">
      <c r="A267" t="s">
        <v>12</v>
      </c>
      <c r="B267">
        <v>522.20000000000005</v>
      </c>
      <c r="C267" s="9">
        <f t="shared" si="82"/>
        <v>176622.83658747716</v>
      </c>
      <c r="D267" s="6">
        <f t="shared" si="83"/>
        <v>9.2156916699963121E-2</v>
      </c>
      <c r="E267" s="2">
        <v>338.22833509666248</v>
      </c>
      <c r="F267" s="6">
        <f t="shared" si="84"/>
        <v>-3.2962962962962881E-2</v>
      </c>
      <c r="G267" s="10">
        <f t="shared" si="85"/>
        <v>-3.1413119824958628E-3</v>
      </c>
      <c r="H267" s="2">
        <f t="shared" si="86"/>
        <v>-3.078646938894928</v>
      </c>
    </row>
    <row r="268" spans="1:8" x14ac:dyDescent="0.35">
      <c r="A268" t="s">
        <v>13</v>
      </c>
      <c r="B268">
        <v>5286.2</v>
      </c>
      <c r="C268" s="9">
        <f t="shared" si="82"/>
        <v>127327.73692105756</v>
      </c>
      <c r="D268" s="6">
        <f t="shared" si="83"/>
        <v>6.6436095534096351E-2</v>
      </c>
      <c r="E268" s="2">
        <v>24.086817926120382</v>
      </c>
      <c r="F268" s="6">
        <f t="shared" si="84"/>
        <v>1.6674680257717053E-2</v>
      </c>
      <c r="G268" s="10">
        <f t="shared" si="85"/>
        <v>1.0896313954837393E-3</v>
      </c>
      <c r="H268" s="2">
        <f t="shared" si="86"/>
        <v>1.0678946818789083</v>
      </c>
    </row>
    <row r="269" spans="1:8" x14ac:dyDescent="0.35">
      <c r="A269" t="s">
        <v>14</v>
      </c>
      <c r="B269">
        <v>1034.5</v>
      </c>
      <c r="C269" s="9">
        <f t="shared" si="82"/>
        <v>105853.96933058096</v>
      </c>
      <c r="D269" s="6">
        <f t="shared" si="83"/>
        <v>5.5231676845634237E-2</v>
      </c>
      <c r="E269" s="2">
        <v>102.3237982895901</v>
      </c>
      <c r="F269" s="6">
        <f t="shared" si="84"/>
        <v>-2.2183641975308203E-3</v>
      </c>
      <c r="G269" s="10">
        <f t="shared" si="85"/>
        <v>-1.2279638158043134E-4</v>
      </c>
      <c r="H269" s="2">
        <f t="shared" si="86"/>
        <v>-0.12034675523046885</v>
      </c>
    </row>
    <row r="270" spans="1:8" x14ac:dyDescent="0.35">
      <c r="A270" t="s">
        <v>15</v>
      </c>
      <c r="B270">
        <v>808.45</v>
      </c>
      <c r="C270" s="9">
        <f t="shared" si="82"/>
        <v>104960.98040512112</v>
      </c>
      <c r="D270" s="6">
        <f t="shared" si="83"/>
        <v>5.4765739894288575E-2</v>
      </c>
      <c r="E270" s="2">
        <v>129.82989721704635</v>
      </c>
      <c r="F270" s="6">
        <f t="shared" si="84"/>
        <v>-1.4821219045265631E-3</v>
      </c>
      <c r="G270" s="10">
        <f t="shared" si="85"/>
        <v>-8.128998438139965E-5</v>
      </c>
      <c r="H270" s="2">
        <f t="shared" si="86"/>
        <v>-7.9668356079605707E-2</v>
      </c>
    </row>
    <row r="271" spans="1:8" x14ac:dyDescent="0.35">
      <c r="A271" t="s">
        <v>16</v>
      </c>
      <c r="B271" s="40">
        <v>808.45</v>
      </c>
      <c r="C271" s="9">
        <f t="shared" si="82"/>
        <v>58802.254361150408</v>
      </c>
      <c r="D271" s="6">
        <f t="shared" si="83"/>
        <v>3.068139183828961E-2</v>
      </c>
      <c r="E271" s="2">
        <v>72.734559170202743</v>
      </c>
      <c r="F271" s="6">
        <f t="shared" si="84"/>
        <v>-0.3641761698780967</v>
      </c>
      <c r="G271" s="10">
        <f t="shared" si="85"/>
        <v>-1.7573156646323217E-2</v>
      </c>
      <c r="H271" s="2">
        <f t="shared" si="86"/>
        <v>-17.222595277829996</v>
      </c>
    </row>
    <row r="272" spans="1:8" x14ac:dyDescent="0.35">
      <c r="A272" t="s">
        <v>17</v>
      </c>
      <c r="B272">
        <v>2124.75</v>
      </c>
      <c r="C272" s="9">
        <f t="shared" si="82"/>
        <v>57789.980830523346</v>
      </c>
      <c r="D272" s="6">
        <f t="shared" si="83"/>
        <v>3.0153215475357219E-2</v>
      </c>
      <c r="E272" s="2">
        <v>27.198484918471983</v>
      </c>
      <c r="F272" s="6">
        <f t="shared" si="84"/>
        <v>8.4721628933503764E-3</v>
      </c>
      <c r="G272" s="10">
        <f t="shared" si="85"/>
        <v>2.533168119708783E-4</v>
      </c>
      <c r="H272" s="2">
        <f t="shared" si="86"/>
        <v>0.24826347465339463</v>
      </c>
    </row>
    <row r="274" spans="1:8" x14ac:dyDescent="0.35">
      <c r="A274" s="14">
        <v>46189</v>
      </c>
      <c r="C274" s="11">
        <f>SUM(C263:C272)</f>
        <v>1882283.862783113</v>
      </c>
      <c r="G274" s="12" t="s">
        <v>18</v>
      </c>
      <c r="H274" s="19">
        <f>SUM(H263:H272)</f>
        <v>-17.519672596204419</v>
      </c>
    </row>
    <row r="275" spans="1:8" x14ac:dyDescent="0.35">
      <c r="G275" s="12" t="s">
        <v>19</v>
      </c>
      <c r="H275" s="19">
        <f>H274+H260</f>
        <v>962.53164228429159</v>
      </c>
    </row>
    <row r="276" spans="1:8" x14ac:dyDescent="0.35">
      <c r="A276" s="8"/>
      <c r="B276" s="8"/>
      <c r="C276" s="8"/>
      <c r="D276" s="8"/>
      <c r="E276" s="8"/>
      <c r="F276" s="8"/>
      <c r="G276" s="8"/>
      <c r="H276" s="8"/>
    </row>
    <row r="278" spans="1:8" x14ac:dyDescent="0.35">
      <c r="A278" t="s">
        <v>8</v>
      </c>
      <c r="B278">
        <v>290.75</v>
      </c>
      <c r="C278" s="9">
        <f>B278*E278</f>
        <v>363762.64991896274</v>
      </c>
      <c r="D278" s="6">
        <f>C278/$C$289</f>
        <v>0.18826947035835848</v>
      </c>
      <c r="E278" s="2">
        <v>1251.1183144246354</v>
      </c>
      <c r="F278" s="6">
        <f>(B278-B263)/B263</f>
        <v>1.9817607856892239E-2</v>
      </c>
      <c r="G278" s="10">
        <f>D263*F278</f>
        <v>3.7554476326686062E-3</v>
      </c>
      <c r="H278" s="2">
        <f>G278*$H$275</f>
        <v>3.6147371773851686</v>
      </c>
    </row>
    <row r="279" spans="1:8" x14ac:dyDescent="0.35">
      <c r="A279" t="s">
        <v>9</v>
      </c>
      <c r="B279">
        <v>2197.6</v>
      </c>
      <c r="C279" s="9">
        <f t="shared" ref="C279:C287" si="87">B279*E279</f>
        <v>516345.231757687</v>
      </c>
      <c r="D279" s="6">
        <f t="shared" ref="D279:D287" si="88">C279/$C$289</f>
        <v>0.2672403099294004</v>
      </c>
      <c r="E279" s="2">
        <v>234.95869664983937</v>
      </c>
      <c r="F279" s="6">
        <f t="shared" ref="F279:F287" si="89">(B279-B264)/B264</f>
        <v>1.327923275544067E-2</v>
      </c>
      <c r="G279" s="10">
        <f t="shared" ref="G279:G287" si="90">D264*F279</f>
        <v>3.5307347580829994E-3</v>
      </c>
      <c r="H279" s="2">
        <f t="shared" ref="H279:H287" si="91">G279*$H$275</f>
        <v>3.3984439251678604</v>
      </c>
    </row>
    <row r="280" spans="1:8" x14ac:dyDescent="0.35">
      <c r="A280" t="s">
        <v>10</v>
      </c>
      <c r="B280">
        <v>1407.3</v>
      </c>
      <c r="C280" s="9">
        <f t="shared" si="87"/>
        <v>271371.26491290436</v>
      </c>
      <c r="D280" s="6">
        <f t="shared" si="88"/>
        <v>0.14045126493061361</v>
      </c>
      <c r="E280" s="2">
        <v>192.83114113046568</v>
      </c>
      <c r="F280" s="6">
        <f t="shared" si="89"/>
        <v>2.2970124300356116E-2</v>
      </c>
      <c r="G280" s="10">
        <f t="shared" si="90"/>
        <v>3.179401206638185E-3</v>
      </c>
      <c r="H280" s="2">
        <f t="shared" si="91"/>
        <v>3.0602742649061105</v>
      </c>
    </row>
    <row r="281" spans="1:8" x14ac:dyDescent="0.35">
      <c r="A281" t="s">
        <v>11</v>
      </c>
      <c r="B281">
        <v>1124.5</v>
      </c>
      <c r="C281" s="9">
        <f t="shared" si="87"/>
        <v>111276.46957904426</v>
      </c>
      <c r="D281" s="6">
        <f t="shared" si="88"/>
        <v>5.7592394369410334E-2</v>
      </c>
      <c r="E281" s="2">
        <v>98.956398024939318</v>
      </c>
      <c r="F281" s="6">
        <f t="shared" si="89"/>
        <v>-6.784929746756739E-2</v>
      </c>
      <c r="G281" s="10">
        <f t="shared" si="90"/>
        <v>-4.2261376975864361E-3</v>
      </c>
      <c r="H281" s="2">
        <f t="shared" si="91"/>
        <v>-4.0677912585774276</v>
      </c>
    </row>
    <row r="282" spans="1:8" x14ac:dyDescent="0.35">
      <c r="A282" t="s">
        <v>12</v>
      </c>
      <c r="B282">
        <v>544.04999999999995</v>
      </c>
      <c r="C282" s="9">
        <f t="shared" si="87"/>
        <v>184013.12570933919</v>
      </c>
      <c r="D282" s="6">
        <f t="shared" si="88"/>
        <v>9.5238072748813435E-2</v>
      </c>
      <c r="E282" s="2">
        <v>338.22833509666248</v>
      </c>
      <c r="F282" s="6">
        <f t="shared" si="89"/>
        <v>4.1842206051321156E-2</v>
      </c>
      <c r="G282" s="10">
        <f t="shared" si="90"/>
        <v>3.8560486976142966E-3</v>
      </c>
      <c r="H282" s="2">
        <f t="shared" si="91"/>
        <v>3.7115688856428926</v>
      </c>
    </row>
    <row r="283" spans="1:8" x14ac:dyDescent="0.35">
      <c r="A283" t="s">
        <v>13</v>
      </c>
      <c r="B283">
        <v>5232</v>
      </c>
      <c r="C283" s="9">
        <f t="shared" si="87"/>
        <v>126022.23138946184</v>
      </c>
      <c r="D283" s="6">
        <f t="shared" si="88"/>
        <v>6.5224230036695821E-2</v>
      </c>
      <c r="E283" s="2">
        <v>24.086817926120382</v>
      </c>
      <c r="F283" s="6">
        <f t="shared" si="89"/>
        <v>-1.0253111876205936E-2</v>
      </c>
      <c r="G283" s="10">
        <f t="shared" si="90"/>
        <v>-6.8117672012939549E-4</v>
      </c>
      <c r="H283" s="2">
        <f t="shared" si="91"/>
        <v>-0.65565414711197434</v>
      </c>
    </row>
    <row r="284" spans="1:8" x14ac:dyDescent="0.35">
      <c r="A284" t="s">
        <v>14</v>
      </c>
      <c r="B284">
        <v>1020</v>
      </c>
      <c r="C284" s="9">
        <f t="shared" si="87"/>
        <v>104370.2742553819</v>
      </c>
      <c r="D284" s="6">
        <f t="shared" si="88"/>
        <v>5.4018014932524921E-2</v>
      </c>
      <c r="E284" s="2">
        <v>102.3237982895901</v>
      </c>
      <c r="F284" s="6">
        <f t="shared" si="89"/>
        <v>-1.401643305944901E-2</v>
      </c>
      <c r="G284" s="10">
        <f t="shared" si="90"/>
        <v>-7.7415110126795208E-4</v>
      </c>
      <c r="H284" s="2">
        <f t="shared" si="91"/>
        <v>-0.74514493087963485</v>
      </c>
    </row>
    <row r="285" spans="1:8" x14ac:dyDescent="0.35">
      <c r="A285" t="s">
        <v>15</v>
      </c>
      <c r="B285">
        <v>805</v>
      </c>
      <c r="C285" s="9">
        <f t="shared" si="87"/>
        <v>104513.06725972232</v>
      </c>
      <c r="D285" s="6">
        <f t="shared" si="88"/>
        <v>5.4091919065629407E-2</v>
      </c>
      <c r="E285" s="2">
        <v>129.82989721704635</v>
      </c>
      <c r="F285" s="6">
        <f t="shared" si="89"/>
        <v>-4.2674253200569549E-3</v>
      </c>
      <c r="G285" s="10">
        <f t="shared" si="90"/>
        <v>-2.3370870509654038E-4</v>
      </c>
      <c r="H285" s="2">
        <f t="shared" si="91"/>
        <v>-0.2249520237327082</v>
      </c>
    </row>
    <row r="286" spans="1:8" x14ac:dyDescent="0.35">
      <c r="A286" t="s">
        <v>16</v>
      </c>
      <c r="B286" s="40">
        <v>1308</v>
      </c>
      <c r="C286" s="9">
        <f t="shared" si="87"/>
        <v>95136.803394625182</v>
      </c>
      <c r="D286" s="6">
        <f t="shared" si="88"/>
        <v>4.9239127740804522E-2</v>
      </c>
      <c r="E286" s="2">
        <v>72.734559170202743</v>
      </c>
      <c r="F286" s="6">
        <f t="shared" si="89"/>
        <v>0.61791081699548511</v>
      </c>
      <c r="G286" s="10">
        <f t="shared" si="90"/>
        <v>1.8958363897356143E-2</v>
      </c>
      <c r="H286" s="2">
        <f t="shared" si="91"/>
        <v>18.248025137145433</v>
      </c>
    </row>
    <row r="287" spans="1:8" x14ac:dyDescent="0.35">
      <c r="A287" t="s">
        <v>17</v>
      </c>
      <c r="B287">
        <v>2034.2</v>
      </c>
      <c r="C287" s="9">
        <f t="shared" si="87"/>
        <v>55327.158021155708</v>
      </c>
      <c r="D287" s="6">
        <f t="shared" si="88"/>
        <v>2.8635195887749078E-2</v>
      </c>
      <c r="E287" s="2">
        <v>27.198484918471983</v>
      </c>
      <c r="F287" s="6">
        <f t="shared" si="89"/>
        <v>-4.2616778444522864E-2</v>
      </c>
      <c r="G287" s="10">
        <f t="shared" si="90"/>
        <v>-1.2850329033032568E-3</v>
      </c>
      <c r="H287" s="2">
        <f t="shared" si="91"/>
        <v>-1.2368848308058351</v>
      </c>
    </row>
    <row r="289" spans="1:8" x14ac:dyDescent="0.35">
      <c r="A289" s="14">
        <v>46190</v>
      </c>
      <c r="C289" s="11">
        <f>SUM(C278:C287)</f>
        <v>1932138.2761982845</v>
      </c>
      <c r="G289" s="12" t="s">
        <v>18</v>
      </c>
      <c r="H289" s="19">
        <f>SUM(H278:H287)</f>
        <v>25.102622199139887</v>
      </c>
    </row>
    <row r="290" spans="1:8" x14ac:dyDescent="0.35">
      <c r="G290" s="12" t="s">
        <v>19</v>
      </c>
      <c r="H290" s="19">
        <f>H289+H275</f>
        <v>987.63426448343148</v>
      </c>
    </row>
    <row r="291" spans="1:8" x14ac:dyDescent="0.35">
      <c r="A291" s="8"/>
      <c r="B291" s="8"/>
      <c r="C291" s="8"/>
      <c r="D291" s="8"/>
      <c r="E291" s="8"/>
      <c r="F291" s="8"/>
      <c r="G291" s="8"/>
      <c r="H291" s="8"/>
    </row>
    <row r="293" spans="1:8" x14ac:dyDescent="0.35">
      <c r="A293" t="s">
        <v>8</v>
      </c>
      <c r="B293">
        <v>291.14999999999998</v>
      </c>
      <c r="C293" s="9">
        <f>B293*E293</f>
        <v>364263.09724473255</v>
      </c>
      <c r="D293" s="6">
        <f>C293/$C$304</f>
        <v>0.18826557064152458</v>
      </c>
      <c r="E293" s="2">
        <v>1251.1183144246354</v>
      </c>
      <c r="F293" s="6">
        <f>(B293-B278)/B278</f>
        <v>1.3757523645742983E-3</v>
      </c>
      <c r="G293" s="10">
        <f>D278*F293</f>
        <v>2.5901216902266244E-4</v>
      </c>
      <c r="H293" s="2">
        <f>G293*$H$290</f>
        <v>0.25580929304495548</v>
      </c>
    </row>
    <row r="294" spans="1:8" x14ac:dyDescent="0.35">
      <c r="A294" t="s">
        <v>9</v>
      </c>
      <c r="B294">
        <v>2218.5</v>
      </c>
      <c r="C294" s="9">
        <f t="shared" ref="C294:C302" si="92">B294*E294</f>
        <v>521255.86851766863</v>
      </c>
      <c r="D294" s="6">
        <f t="shared" ref="D294:D302" si="93">C294/$C$304</f>
        <v>0.26940564190829924</v>
      </c>
      <c r="E294" s="2">
        <v>234.95869664983937</v>
      </c>
      <c r="F294" s="6">
        <f t="shared" ref="F294:F302" si="94">(B294-B279)/B279</f>
        <v>9.5103749544958559E-3</v>
      </c>
      <c r="G294" s="10">
        <f t="shared" ref="G294:G302" si="95">D279*F294</f>
        <v>2.5415555503842798E-3</v>
      </c>
      <c r="H294" s="2">
        <f t="shared" ref="H294:H302" si="96">G294*$H$290</f>
        <v>2.5101273466475611</v>
      </c>
    </row>
    <row r="295" spans="1:8" x14ac:dyDescent="0.35">
      <c r="A295" t="s">
        <v>10</v>
      </c>
      <c r="B295">
        <v>1400.4</v>
      </c>
      <c r="C295" s="9">
        <f t="shared" si="92"/>
        <v>270040.73003910418</v>
      </c>
      <c r="D295" s="6">
        <f t="shared" si="93"/>
        <v>0.1395677259700811</v>
      </c>
      <c r="E295" s="2">
        <v>192.83114113046568</v>
      </c>
      <c r="F295" s="6">
        <f t="shared" si="94"/>
        <v>-4.9030057557023117E-3</v>
      </c>
      <c r="G295" s="10">
        <f t="shared" si="95"/>
        <v>-6.8863336035046878E-4</v>
      </c>
      <c r="H295" s="2">
        <f t="shared" si="96"/>
        <v>-0.68011790234848901</v>
      </c>
    </row>
    <row r="296" spans="1:8" x14ac:dyDescent="0.35">
      <c r="A296" t="s">
        <v>11</v>
      </c>
      <c r="B296">
        <v>1111.4000000000001</v>
      </c>
      <c r="C296" s="9">
        <f t="shared" si="92"/>
        <v>109980.14076491757</v>
      </c>
      <c r="D296" s="6">
        <f t="shared" si="93"/>
        <v>5.6842085066968223E-2</v>
      </c>
      <c r="E296" s="2">
        <v>98.956398024939318</v>
      </c>
      <c r="F296" s="6">
        <f t="shared" si="94"/>
        <v>-1.1649622054246252E-2</v>
      </c>
      <c r="G296" s="10">
        <f t="shared" si="95"/>
        <v>-6.7092962760273032E-4</v>
      </c>
      <c r="H296" s="2">
        <f t="shared" si="96"/>
        <v>-0.66263308927756515</v>
      </c>
    </row>
    <row r="297" spans="1:8" x14ac:dyDescent="0.35">
      <c r="A297" t="s">
        <v>12</v>
      </c>
      <c r="B297">
        <v>531.54999999999995</v>
      </c>
      <c r="C297" s="9">
        <f t="shared" si="92"/>
        <v>179785.27152063092</v>
      </c>
      <c r="D297" s="6">
        <f t="shared" si="93"/>
        <v>9.292013654908457E-2</v>
      </c>
      <c r="E297" s="2">
        <v>338.22833509666248</v>
      </c>
      <c r="F297" s="6">
        <f t="shared" si="94"/>
        <v>-2.2975829427442331E-2</v>
      </c>
      <c r="G297" s="10">
        <f t="shared" si="95"/>
        <v>-2.1881737144750814E-3</v>
      </c>
      <c r="H297" s="2">
        <f t="shared" si="96"/>
        <v>-2.1611153370575753</v>
      </c>
    </row>
    <row r="298" spans="1:8" x14ac:dyDescent="0.35">
      <c r="A298" t="s">
        <v>13</v>
      </c>
      <c r="B298">
        <v>5245</v>
      </c>
      <c r="C298" s="9">
        <f t="shared" si="92"/>
        <v>126335.36002250141</v>
      </c>
      <c r="D298" s="6">
        <f t="shared" si="93"/>
        <v>6.5295109020771444E-2</v>
      </c>
      <c r="E298" s="2">
        <v>24.086817926120382</v>
      </c>
      <c r="F298" s="6">
        <f t="shared" si="94"/>
        <v>2.4847094801223242E-3</v>
      </c>
      <c r="G298" s="10">
        <f t="shared" si="95"/>
        <v>1.6206326270585736E-4</v>
      </c>
      <c r="H298" s="2">
        <f t="shared" si="96"/>
        <v>0.16005923126228458</v>
      </c>
    </row>
    <row r="299" spans="1:8" x14ac:dyDescent="0.35">
      <c r="A299" t="s">
        <v>14</v>
      </c>
      <c r="B299">
        <v>1009.2</v>
      </c>
      <c r="C299" s="9">
        <f t="shared" si="92"/>
        <v>103265.17723385434</v>
      </c>
      <c r="D299" s="6">
        <f t="shared" si="93"/>
        <v>5.3371526422474828E-2</v>
      </c>
      <c r="E299" s="2">
        <v>102.3237982895901</v>
      </c>
      <c r="F299" s="6">
        <f t="shared" si="94"/>
        <v>-1.0588235294117603E-2</v>
      </c>
      <c r="G299" s="10">
        <f t="shared" si="95"/>
        <v>-5.7195545222673205E-4</v>
      </c>
      <c r="H299" s="2">
        <f t="shared" si="96"/>
        <v>-0.56488280237723698</v>
      </c>
    </row>
    <row r="300" spans="1:8" x14ac:dyDescent="0.35">
      <c r="A300" t="s">
        <v>15</v>
      </c>
      <c r="B300">
        <v>820.75</v>
      </c>
      <c r="C300" s="9">
        <f t="shared" si="92"/>
        <v>106557.88814089079</v>
      </c>
      <c r="D300" s="6">
        <f t="shared" si="93"/>
        <v>5.5073329604185282E-2</v>
      </c>
      <c r="E300" s="2">
        <v>129.82989721704635</v>
      </c>
      <c r="F300" s="6">
        <f t="shared" si="94"/>
        <v>1.9565217391304349E-2</v>
      </c>
      <c r="G300" s="10">
        <f t="shared" si="95"/>
        <v>1.0583201556318797E-3</v>
      </c>
      <c r="H300" s="2">
        <f t="shared" si="96"/>
        <v>1.0452332484954823</v>
      </c>
    </row>
    <row r="301" spans="1:8" x14ac:dyDescent="0.35">
      <c r="A301" t="s">
        <v>16</v>
      </c>
      <c r="B301" s="40">
        <v>1350.3</v>
      </c>
      <c r="C301" s="9">
        <f t="shared" si="92"/>
        <v>98213.475247524766</v>
      </c>
      <c r="D301" s="6">
        <f t="shared" si="93"/>
        <v>5.0760607105198273E-2</v>
      </c>
      <c r="E301" s="2">
        <v>72.734559170202743</v>
      </c>
      <c r="F301" s="6">
        <f t="shared" si="94"/>
        <v>3.2339449541284371E-2</v>
      </c>
      <c r="G301" s="10">
        <f t="shared" si="95"/>
        <v>1.5923662870306033E-3</v>
      </c>
      <c r="H301" s="2">
        <f t="shared" si="96"/>
        <v>1.5726755066796827</v>
      </c>
    </row>
    <row r="302" spans="1:8" x14ac:dyDescent="0.35">
      <c r="A302" t="s">
        <v>17</v>
      </c>
      <c r="B302">
        <v>2027.3</v>
      </c>
      <c r="C302" s="9">
        <f t="shared" si="92"/>
        <v>55139.488475218248</v>
      </c>
      <c r="D302" s="6">
        <f t="shared" si="93"/>
        <v>2.8498267711412662E-2</v>
      </c>
      <c r="E302" s="2">
        <v>27.198484918471983</v>
      </c>
      <c r="F302" s="6">
        <f t="shared" si="94"/>
        <v>-3.3919968538000645E-3</v>
      </c>
      <c r="G302" s="10">
        <f t="shared" si="95"/>
        <v>-9.713049435919342E-5</v>
      </c>
      <c r="H302" s="2">
        <f t="shared" si="96"/>
        <v>-9.5929404355354089E-2</v>
      </c>
    </row>
    <row r="304" spans="1:8" x14ac:dyDescent="0.35">
      <c r="A304" s="14">
        <v>46191</v>
      </c>
      <c r="C304" s="11">
        <f>SUM(C293:C302)</f>
        <v>1934836.497207043</v>
      </c>
      <c r="G304" s="12" t="s">
        <v>18</v>
      </c>
      <c r="H304" s="19">
        <f>SUM(H293:H302)</f>
        <v>1.3792260907137459</v>
      </c>
    </row>
    <row r="305" spans="1:8" x14ac:dyDescent="0.35">
      <c r="G305" s="12" t="s">
        <v>19</v>
      </c>
      <c r="H305" s="19">
        <f>H304+H290</f>
        <v>989.01349057414518</v>
      </c>
    </row>
    <row r="306" spans="1:8" x14ac:dyDescent="0.35">
      <c r="A306" s="8"/>
      <c r="B306" s="8"/>
      <c r="C306" s="8"/>
      <c r="D306" s="8"/>
      <c r="E306" s="8"/>
      <c r="F306" s="8"/>
      <c r="G306" s="8"/>
      <c r="H306" s="8"/>
    </row>
    <row r="308" spans="1:8" x14ac:dyDescent="0.35">
      <c r="A308" t="s">
        <v>8</v>
      </c>
      <c r="B308">
        <v>292.5</v>
      </c>
      <c r="C308" s="9">
        <f>B308*E308</f>
        <v>365952.10696920584</v>
      </c>
      <c r="D308" s="6">
        <f>C308/$C$289</f>
        <v>0.18940264859783268</v>
      </c>
      <c r="E308" s="2">
        <v>1251.1183144246354</v>
      </c>
      <c r="F308" s="6">
        <f>(B308-B293)/B293</f>
        <v>4.6367851622875593E-3</v>
      </c>
      <c r="G308" s="10">
        <f>D293*F308</f>
        <v>8.7294700452022144E-4</v>
      </c>
      <c r="H308" s="2">
        <f>G308*$H$305</f>
        <v>0.86335636402678828</v>
      </c>
    </row>
    <row r="309" spans="1:8" x14ac:dyDescent="0.35">
      <c r="A309" t="s">
        <v>9</v>
      </c>
      <c r="B309">
        <v>2194.6</v>
      </c>
      <c r="C309" s="9">
        <f t="shared" ref="C309:C317" si="97">B309*E309</f>
        <v>515640.35566773743</v>
      </c>
      <c r="D309" s="6">
        <f t="shared" ref="D309:D317" si="98">C309/$C$289</f>
        <v>0.2668754933432208</v>
      </c>
      <c r="E309" s="2">
        <v>234.95869664983937</v>
      </c>
      <c r="F309" s="6">
        <f t="shared" ref="F309:F317" si="99">(B309-B294)/B294</f>
        <v>-1.0773044850123998E-2</v>
      </c>
      <c r="G309" s="10">
        <f t="shared" ref="G309:G317" si="100">D294*F309</f>
        <v>-2.9023190631545532E-3</v>
      </c>
      <c r="H309" s="2">
        <f t="shared" ref="H309:H317" si="101">G309*$H$305</f>
        <v>-2.8704327074103677</v>
      </c>
    </row>
    <row r="310" spans="1:8" x14ac:dyDescent="0.35">
      <c r="A310" t="s">
        <v>10</v>
      </c>
      <c r="B310">
        <v>1414.8</v>
      </c>
      <c r="C310" s="9">
        <f t="shared" si="97"/>
        <v>272817.49847138283</v>
      </c>
      <c r="D310" s="6">
        <f t="shared" si="98"/>
        <v>0.14119977945273371</v>
      </c>
      <c r="E310" s="2">
        <v>192.83114113046568</v>
      </c>
      <c r="F310" s="6">
        <f t="shared" si="99"/>
        <v>1.0282776349614298E-2</v>
      </c>
      <c r="G310" s="10">
        <f t="shared" si="100"/>
        <v>1.4351437117745992E-3</v>
      </c>
      <c r="H310" s="2">
        <f t="shared" si="101"/>
        <v>1.4193764918577312</v>
      </c>
    </row>
    <row r="311" spans="1:8" x14ac:dyDescent="0.35">
      <c r="A311" t="s">
        <v>11</v>
      </c>
      <c r="B311">
        <v>1111.5</v>
      </c>
      <c r="C311" s="9">
        <f t="shared" si="97"/>
        <v>109990.03640472006</v>
      </c>
      <c r="D311" s="6">
        <f t="shared" si="98"/>
        <v>5.6926586342018304E-2</v>
      </c>
      <c r="E311" s="2">
        <v>98.956398024939318</v>
      </c>
      <c r="F311" s="6">
        <f t="shared" si="99"/>
        <v>8.9976606082336737E-5</v>
      </c>
      <c r="G311" s="10">
        <f t="shared" si="100"/>
        <v>5.1144578969692755E-6</v>
      </c>
      <c r="H311" s="2">
        <f t="shared" si="101"/>
        <v>5.0582678570760846E-3</v>
      </c>
    </row>
    <row r="312" spans="1:8" x14ac:dyDescent="0.35">
      <c r="A312" t="s">
        <v>12</v>
      </c>
      <c r="B312">
        <v>529.5</v>
      </c>
      <c r="C312" s="9">
        <f t="shared" si="97"/>
        <v>179091.90343368278</v>
      </c>
      <c r="D312" s="6">
        <f t="shared" si="98"/>
        <v>9.2691038545164445E-2</v>
      </c>
      <c r="E312" s="2">
        <v>338.22833509666248</v>
      </c>
      <c r="F312" s="6">
        <f t="shared" si="99"/>
        <v>-3.8566456589219354E-3</v>
      </c>
      <c r="G312" s="10">
        <f t="shared" si="100"/>
        <v>-3.5836004124846049E-4</v>
      </c>
      <c r="H312" s="2">
        <f t="shared" si="101"/>
        <v>-0.35442291527743458</v>
      </c>
    </row>
    <row r="313" spans="1:8" x14ac:dyDescent="0.35">
      <c r="A313" t="s">
        <v>13</v>
      </c>
      <c r="B313">
        <v>5195</v>
      </c>
      <c r="C313" s="9">
        <f t="shared" si="97"/>
        <v>125131.01912619539</v>
      </c>
      <c r="D313" s="6">
        <f t="shared" si="98"/>
        <v>6.4762973058225315E-2</v>
      </c>
      <c r="E313" s="2">
        <v>24.086817926120382</v>
      </c>
      <c r="F313" s="6">
        <f t="shared" si="99"/>
        <v>-9.5328884652049577E-3</v>
      </c>
      <c r="G313" s="10">
        <f t="shared" si="100"/>
        <v>-6.2245099161841225E-4</v>
      </c>
      <c r="H313" s="2">
        <f t="shared" si="101"/>
        <v>-0.61561242793186388</v>
      </c>
    </row>
    <row r="314" spans="1:8" x14ac:dyDescent="0.35">
      <c r="A314" t="s">
        <v>14</v>
      </c>
      <c r="B314">
        <v>1000.6</v>
      </c>
      <c r="C314" s="9">
        <f t="shared" si="97"/>
        <v>102385.19256856386</v>
      </c>
      <c r="D314" s="6">
        <f t="shared" si="98"/>
        <v>5.299061347204357E-2</v>
      </c>
      <c r="E314" s="2">
        <v>102.3237982895901</v>
      </c>
      <c r="F314" s="6">
        <f t="shared" si="99"/>
        <v>-8.5216012683313729E-3</v>
      </c>
      <c r="G314" s="10">
        <f t="shared" si="100"/>
        <v>-4.5481086725454286E-4</v>
      </c>
      <c r="H314" s="2">
        <f t="shared" si="101"/>
        <v>-0.4498140833744696</v>
      </c>
    </row>
    <row r="315" spans="1:8" x14ac:dyDescent="0.35">
      <c r="A315" t="s">
        <v>15</v>
      </c>
      <c r="B315">
        <v>817.05</v>
      </c>
      <c r="C315" s="9">
        <f t="shared" si="97"/>
        <v>106077.51752118772</v>
      </c>
      <c r="D315" s="6">
        <f t="shared" si="98"/>
        <v>5.4901617978350935E-2</v>
      </c>
      <c r="E315" s="2">
        <v>129.82989721704635</v>
      </c>
      <c r="F315" s="6">
        <f t="shared" si="99"/>
        <v>-4.5080718854706619E-3</v>
      </c>
      <c r="G315" s="10">
        <f t="shared" si="100"/>
        <v>-2.4827452882788674E-4</v>
      </c>
      <c r="H315" s="2">
        <f t="shared" si="101"/>
        <v>-0.2455468583767195</v>
      </c>
    </row>
    <row r="316" spans="1:8" x14ac:dyDescent="0.35">
      <c r="A316" t="s">
        <v>16</v>
      </c>
      <c r="B316" s="40">
        <v>1320.5</v>
      </c>
      <c r="C316" s="9">
        <f t="shared" si="97"/>
        <v>96045.985384252723</v>
      </c>
      <c r="D316" s="6">
        <f t="shared" si="98"/>
        <v>4.9709685154229646E-2</v>
      </c>
      <c r="E316" s="2">
        <v>72.734559170202743</v>
      </c>
      <c r="F316" s="6">
        <f t="shared" si="99"/>
        <v>-2.2069169814115348E-2</v>
      </c>
      <c r="G316" s="10">
        <f t="shared" si="100"/>
        <v>-1.1202444580722109E-3</v>
      </c>
      <c r="H316" s="2">
        <f t="shared" si="101"/>
        <v>-1.1079368817743389</v>
      </c>
    </row>
    <row r="317" spans="1:8" x14ac:dyDescent="0.35">
      <c r="A317" t="s">
        <v>17</v>
      </c>
      <c r="B317">
        <v>1997.8</v>
      </c>
      <c r="C317" s="9">
        <f t="shared" si="97"/>
        <v>54337.133170123328</v>
      </c>
      <c r="D317" s="6">
        <f t="shared" si="98"/>
        <v>2.812279733779624E-2</v>
      </c>
      <c r="E317" s="2">
        <v>27.198484918471983</v>
      </c>
      <c r="F317" s="6">
        <f t="shared" si="99"/>
        <v>-1.4551373748335225E-2</v>
      </c>
      <c r="G317" s="10">
        <f t="shared" si="100"/>
        <v>-4.146889446488796E-4</v>
      </c>
      <c r="H317" s="2">
        <f t="shared" si="101"/>
        <v>-0.4101329606496969</v>
      </c>
    </row>
    <row r="319" spans="1:8" x14ac:dyDescent="0.35">
      <c r="A319" s="14">
        <v>46192</v>
      </c>
      <c r="C319" s="11">
        <f>SUM(C308:C317)</f>
        <v>1927468.7487170519</v>
      </c>
      <c r="G319" s="12" t="s">
        <v>18</v>
      </c>
      <c r="H319" s="19">
        <f>SUM(H308:H317)</f>
        <v>-3.7661077110532957</v>
      </c>
    </row>
    <row r="320" spans="1:8" x14ac:dyDescent="0.35">
      <c r="G320" s="12" t="s">
        <v>19</v>
      </c>
      <c r="H320" s="19">
        <f>H319+H305</f>
        <v>985.24738286309184</v>
      </c>
    </row>
    <row r="321" spans="1:8" x14ac:dyDescent="0.35">
      <c r="A321" s="8"/>
      <c r="B321" s="8"/>
      <c r="C321" s="8"/>
      <c r="D321" s="8"/>
      <c r="E321" s="8"/>
      <c r="F321" s="8"/>
      <c r="G321" s="8"/>
      <c r="H321" s="8"/>
    </row>
    <row r="323" spans="1:8" x14ac:dyDescent="0.35">
      <c r="A323" t="s">
        <v>8</v>
      </c>
      <c r="B323">
        <v>291.25</v>
      </c>
      <c r="C323" s="9">
        <f>B323*E323</f>
        <v>364388.20907617506</v>
      </c>
      <c r="D323" s="6">
        <f>C323/$C$334</f>
        <v>0.18990700566986399</v>
      </c>
      <c r="E323" s="2">
        <v>1251.1183144246354</v>
      </c>
      <c r="F323" s="6">
        <f>(B323-B308)/B308</f>
        <v>-4.2735042735042739E-3</v>
      </c>
      <c r="G323" s="10">
        <f>D308*F323</f>
        <v>-8.0941302819586625E-4</v>
      </c>
      <c r="H323" s="2">
        <f>G323*$H$320</f>
        <v>-0.79747206768526724</v>
      </c>
    </row>
    <row r="324" spans="1:8" x14ac:dyDescent="0.35">
      <c r="A324" t="s">
        <v>9</v>
      </c>
      <c r="B324">
        <v>2184.9</v>
      </c>
      <c r="C324" s="9">
        <f t="shared" ref="C324:C332" si="102">B324*E324</f>
        <v>513361.25631023408</v>
      </c>
      <c r="D324" s="6">
        <f t="shared" ref="D324:D332" si="103">C324/$C$334</f>
        <v>0.26754679922262725</v>
      </c>
      <c r="E324" s="2">
        <v>234.95869664983937</v>
      </c>
      <c r="F324" s="6">
        <f t="shared" ref="F324:F332" si="104">(B324-B309)/B309</f>
        <v>-4.4199398523648127E-3</v>
      </c>
      <c r="G324" s="10">
        <f t="shared" ref="G324:G332" si="105">D309*F324</f>
        <v>-1.1795736286472219E-3</v>
      </c>
      <c r="H324" s="2">
        <f t="shared" ref="H324:H332" si="106">G324*$H$320</f>
        <v>-1.1621718305189959</v>
      </c>
    </row>
    <row r="325" spans="1:8" x14ac:dyDescent="0.35">
      <c r="A325" t="s">
        <v>10</v>
      </c>
      <c r="B325">
        <v>1401.9</v>
      </c>
      <c r="C325" s="9">
        <f t="shared" si="102"/>
        <v>270329.97675079986</v>
      </c>
      <c r="D325" s="6">
        <f t="shared" si="103"/>
        <v>0.14088698577185926</v>
      </c>
      <c r="E325" s="2">
        <v>192.83114113046568</v>
      </c>
      <c r="F325" s="6">
        <f t="shared" si="104"/>
        <v>-9.1178965224765797E-3</v>
      </c>
      <c r="G325" s="10">
        <f t="shared" si="105"/>
        <v>-1.2874449780465407E-3</v>
      </c>
      <c r="H325" s="2">
        <f t="shared" si="106"/>
        <v>-1.2684517952005849</v>
      </c>
    </row>
    <row r="326" spans="1:8" x14ac:dyDescent="0.35">
      <c r="A326" t="s">
        <v>11</v>
      </c>
      <c r="B326">
        <v>1112.9000000000001</v>
      </c>
      <c r="C326" s="9">
        <f t="shared" si="102"/>
        <v>110128.57536195498</v>
      </c>
      <c r="D326" s="6">
        <f t="shared" si="103"/>
        <v>5.7395347776757324E-2</v>
      </c>
      <c r="E326" s="2">
        <v>98.956398024939318</v>
      </c>
      <c r="F326" s="6">
        <f t="shared" si="104"/>
        <v>1.2595591542960782E-3</v>
      </c>
      <c r="G326" s="10">
        <f t="shared" si="105"/>
        <v>7.1702402949915255E-5</v>
      </c>
      <c r="H326" s="2">
        <f t="shared" si="106"/>
        <v>7.064460485139884E-2</v>
      </c>
    </row>
    <row r="327" spans="1:8" x14ac:dyDescent="0.35">
      <c r="A327" t="s">
        <v>12</v>
      </c>
      <c r="B327">
        <v>512.95000000000005</v>
      </c>
      <c r="C327" s="9">
        <f t="shared" si="102"/>
        <v>173494.22448783304</v>
      </c>
      <c r="D327" s="6">
        <f t="shared" si="103"/>
        <v>9.0419414933955403E-2</v>
      </c>
      <c r="E327" s="2">
        <v>338.22833509666248</v>
      </c>
      <c r="F327" s="6">
        <f t="shared" si="104"/>
        <v>-3.1255901794145335E-2</v>
      </c>
      <c r="G327" s="10">
        <f t="shared" si="105"/>
        <v>-2.8971419979649999E-3</v>
      </c>
      <c r="H327" s="2">
        <f t="shared" si="106"/>
        <v>-2.8544015712777653</v>
      </c>
    </row>
    <row r="328" spans="1:8" x14ac:dyDescent="0.35">
      <c r="A328" t="s">
        <v>13</v>
      </c>
      <c r="B328">
        <v>5217.5</v>
      </c>
      <c r="C328" s="9">
        <f t="shared" si="102"/>
        <v>125672.97252953309</v>
      </c>
      <c r="D328" s="6">
        <f t="shared" si="103"/>
        <v>6.5496570175039598E-2</v>
      </c>
      <c r="E328" s="2">
        <v>24.086817926120382</v>
      </c>
      <c r="F328" s="6">
        <f t="shared" si="104"/>
        <v>4.3310875842155917E-3</v>
      </c>
      <c r="G328" s="10">
        <f t="shared" si="105"/>
        <v>2.8049410852936854E-4</v>
      </c>
      <c r="H328" s="2">
        <f t="shared" si="106"/>
        <v>0.27635608633707642</v>
      </c>
    </row>
    <row r="329" spans="1:8" x14ac:dyDescent="0.35">
      <c r="A329" t="s">
        <v>14</v>
      </c>
      <c r="B329">
        <v>1019.5</v>
      </c>
      <c r="C329" s="9">
        <f t="shared" si="102"/>
        <v>104319.11235623711</v>
      </c>
      <c r="D329" s="6">
        <f t="shared" si="103"/>
        <v>5.4367649029965291E-2</v>
      </c>
      <c r="E329" s="2">
        <v>102.3237982895901</v>
      </c>
      <c r="F329" s="6">
        <f t="shared" si="104"/>
        <v>1.8888666799920024E-2</v>
      </c>
      <c r="G329" s="10">
        <f t="shared" si="105"/>
        <v>1.0009220413967842E-3</v>
      </c>
      <c r="H329" s="2">
        <f t="shared" si="106"/>
        <v>0.98615582173616489</v>
      </c>
    </row>
    <row r="330" spans="1:8" x14ac:dyDescent="0.35">
      <c r="A330" t="s">
        <v>15</v>
      </c>
      <c r="B330">
        <v>812.45</v>
      </c>
      <c r="C330" s="9">
        <f t="shared" si="102"/>
        <v>105480.29999398932</v>
      </c>
      <c r="D330" s="6">
        <f t="shared" si="103"/>
        <v>5.4972821375869292E-2</v>
      </c>
      <c r="E330" s="2">
        <v>129.82989721704635</v>
      </c>
      <c r="F330" s="6">
        <f t="shared" si="104"/>
        <v>-5.6300104032799819E-3</v>
      </c>
      <c r="G330" s="10">
        <f t="shared" si="105"/>
        <v>-3.0909668037501904E-4</v>
      </c>
      <c r="H330" s="2">
        <f t="shared" si="106"/>
        <v>-0.30453669539115713</v>
      </c>
    </row>
    <row r="331" spans="1:8" x14ac:dyDescent="0.35">
      <c r="A331" t="s">
        <v>16</v>
      </c>
      <c r="B331" s="40">
        <v>1343.1</v>
      </c>
      <c r="C331" s="9">
        <f t="shared" si="102"/>
        <v>97689.786421499302</v>
      </c>
      <c r="D331" s="6">
        <f t="shared" si="103"/>
        <v>5.091266501424363E-2</v>
      </c>
      <c r="E331" s="2">
        <v>72.734559170202743</v>
      </c>
      <c r="F331" s="6">
        <f t="shared" si="104"/>
        <v>1.7114729269216138E-2</v>
      </c>
      <c r="G331" s="10">
        <f t="shared" si="105"/>
        <v>8.5076780347261309E-4</v>
      </c>
      <c r="H331" s="2">
        <f t="shared" si="106"/>
        <v>0.83821675179557331</v>
      </c>
    </row>
    <row r="332" spans="1:8" x14ac:dyDescent="0.35">
      <c r="A332" t="s">
        <v>17</v>
      </c>
      <c r="B332">
        <v>1982</v>
      </c>
      <c r="C332" s="9">
        <f t="shared" si="102"/>
        <v>53907.397108411475</v>
      </c>
      <c r="D332" s="6">
        <f t="shared" si="103"/>
        <v>2.8094741029819077E-2</v>
      </c>
      <c r="E332" s="2">
        <v>27.198484918471983</v>
      </c>
      <c r="F332" s="6">
        <f t="shared" si="104"/>
        <v>-7.9086995695264572E-3</v>
      </c>
      <c r="G332" s="10">
        <f t="shared" si="105"/>
        <v>-2.2241475519930892E-4</v>
      </c>
      <c r="H332" s="2">
        <f t="shared" si="106"/>
        <v>-0.21913355547025437</v>
      </c>
    </row>
    <row r="334" spans="1:8" x14ac:dyDescent="0.35">
      <c r="A334" s="14">
        <v>46195</v>
      </c>
      <c r="C334" s="11">
        <f>SUM(C323:C332)</f>
        <v>1918771.8103966671</v>
      </c>
      <c r="G334" s="12" t="s">
        <v>18</v>
      </c>
      <c r="H334" s="19">
        <f>SUM(H323:H332)</f>
        <v>-4.4347942508238116</v>
      </c>
    </row>
    <row r="335" spans="1:8" x14ac:dyDescent="0.35">
      <c r="G335" s="12" t="s">
        <v>19</v>
      </c>
      <c r="H335" s="19">
        <f>H334+H320</f>
        <v>980.81258861226809</v>
      </c>
    </row>
    <row r="336" spans="1:8" x14ac:dyDescent="0.35">
      <c r="A336" s="8"/>
      <c r="B336" s="8"/>
      <c r="C336" s="8"/>
      <c r="D336" s="8"/>
      <c r="E336" s="8"/>
      <c r="F336" s="8"/>
      <c r="G336" s="8"/>
      <c r="H336" s="8"/>
    </row>
    <row r="338" spans="1:8" x14ac:dyDescent="0.35">
      <c r="A338" t="s">
        <v>8</v>
      </c>
      <c r="B338">
        <v>290</v>
      </c>
      <c r="C338" s="9">
        <f>B338*E338</f>
        <v>362824.31118314428</v>
      </c>
      <c r="D338" s="6">
        <f>C338/$C$349</f>
        <v>0.19025595618060737</v>
      </c>
      <c r="E338" s="2">
        <v>1251.1183144246354</v>
      </c>
      <c r="F338" s="6">
        <f>(B338-B323)/B323</f>
        <v>-4.2918454935622317E-3</v>
      </c>
      <c r="G338" s="10">
        <f>D323*F338</f>
        <v>-8.1505152648010291E-4</v>
      </c>
      <c r="H338" s="2">
        <f>G338*$H$335</f>
        <v>-0.79941279753933026</v>
      </c>
    </row>
    <row r="339" spans="1:8" x14ac:dyDescent="0.35">
      <c r="A339" t="s">
        <v>9</v>
      </c>
      <c r="B339">
        <v>2160</v>
      </c>
      <c r="C339" s="9">
        <f t="shared" ref="C339:C347" si="107">B339*E339</f>
        <v>507510.78476365301</v>
      </c>
      <c r="D339" s="6">
        <f t="shared" ref="D339:D347" si="108">C339/$C$349</f>
        <v>0.26612590901727029</v>
      </c>
      <c r="E339" s="2">
        <v>234.95869664983937</v>
      </c>
      <c r="F339" s="6">
        <f t="shared" ref="F339:F347" si="109">(B339-B324)/B324</f>
        <v>-1.1396402581353878E-2</v>
      </c>
      <c r="G339" s="10">
        <f t="shared" ref="G339:G347" si="110">D324*F339</f>
        <v>-3.0490710332937172E-3</v>
      </c>
      <c r="H339" s="2">
        <f t="shared" ref="H339:H347" si="111">G339*$H$335</f>
        <v>-2.9905672530274936</v>
      </c>
    </row>
    <row r="340" spans="1:8" x14ac:dyDescent="0.35">
      <c r="A340" t="s">
        <v>10</v>
      </c>
      <c r="B340">
        <v>1392.2</v>
      </c>
      <c r="C340" s="9">
        <f t="shared" si="107"/>
        <v>268459.51468183432</v>
      </c>
      <c r="D340" s="6">
        <f t="shared" si="108"/>
        <v>0.14077342693773445</v>
      </c>
      <c r="E340" s="2">
        <v>192.83114113046568</v>
      </c>
      <c r="F340" s="6">
        <f t="shared" si="109"/>
        <v>-6.9191811113489153E-3</v>
      </c>
      <c r="G340" s="10">
        <f t="shared" si="110"/>
        <v>-9.7482257078753201E-4</v>
      </c>
      <c r="H340" s="2">
        <f t="shared" si="111"/>
        <v>-0.95611824909178522</v>
      </c>
    </row>
    <row r="341" spans="1:8" x14ac:dyDescent="0.35">
      <c r="A341" t="s">
        <v>11</v>
      </c>
      <c r="B341">
        <v>1103.8</v>
      </c>
      <c r="C341" s="9">
        <f t="shared" si="107"/>
        <v>109228.07213992802</v>
      </c>
      <c r="D341" s="6">
        <f t="shared" si="108"/>
        <v>5.7276457685484332E-2</v>
      </c>
      <c r="E341" s="2">
        <v>98.956398024939318</v>
      </c>
      <c r="F341" s="6">
        <f t="shared" si="109"/>
        <v>-8.1768352951748901E-3</v>
      </c>
      <c r="G341" s="10">
        <f t="shared" si="110"/>
        <v>-4.6931230547982692E-4</v>
      </c>
      <c r="H341" s="2">
        <f t="shared" si="111"/>
        <v>-0.46030741720526058</v>
      </c>
    </row>
    <row r="342" spans="1:8" x14ac:dyDescent="0.35">
      <c r="A342" t="s">
        <v>12</v>
      </c>
      <c r="B342">
        <v>504.3</v>
      </c>
      <c r="C342" s="9">
        <f t="shared" si="107"/>
        <v>170568.54938924688</v>
      </c>
      <c r="D342" s="6">
        <f t="shared" si="108"/>
        <v>8.9441863343081088E-2</v>
      </c>
      <c r="E342" s="2">
        <v>338.22833509666248</v>
      </c>
      <c r="F342" s="6">
        <f t="shared" si="109"/>
        <v>-1.686324203138714E-2</v>
      </c>
      <c r="G342" s="10">
        <f t="shared" si="110"/>
        <v>-1.5247644783677107E-3</v>
      </c>
      <c r="H342" s="2">
        <f t="shared" si="111"/>
        <v>-1.4955081950518689</v>
      </c>
    </row>
    <row r="343" spans="1:8" x14ac:dyDescent="0.35">
      <c r="A343" t="s">
        <v>13</v>
      </c>
      <c r="B343">
        <v>5241</v>
      </c>
      <c r="C343" s="9">
        <f t="shared" si="107"/>
        <v>126239.01275079692</v>
      </c>
      <c r="D343" s="6">
        <f t="shared" si="108"/>
        <v>6.6196567699332659E-2</v>
      </c>
      <c r="E343" s="2">
        <v>24.086817926120382</v>
      </c>
      <c r="F343" s="6">
        <f t="shared" si="109"/>
        <v>4.5040728318160037E-3</v>
      </c>
      <c r="G343" s="10">
        <f t="shared" si="110"/>
        <v>2.9500132230252622E-4</v>
      </c>
      <c r="H343" s="2">
        <f t="shared" si="111"/>
        <v>0.28934101057158274</v>
      </c>
    </row>
    <row r="344" spans="1:8" x14ac:dyDescent="0.35">
      <c r="A344" t="s">
        <v>14</v>
      </c>
      <c r="B344">
        <v>1020.7</v>
      </c>
      <c r="C344" s="9">
        <f t="shared" si="107"/>
        <v>104441.90091418462</v>
      </c>
      <c r="D344" s="6">
        <f t="shared" si="108"/>
        <v>5.4766709702973114E-2</v>
      </c>
      <c r="E344" s="2">
        <v>102.3237982895901</v>
      </c>
      <c r="F344" s="6">
        <f t="shared" si="109"/>
        <v>1.1770475723394266E-3</v>
      </c>
      <c r="G344" s="10">
        <f t="shared" si="110"/>
        <v>6.3993309304522623E-5</v>
      </c>
      <c r="H344" s="2">
        <f t="shared" si="111"/>
        <v>6.2765443352834377E-2</v>
      </c>
    </row>
    <row r="345" spans="1:8" x14ac:dyDescent="0.35">
      <c r="A345" t="s">
        <v>15</v>
      </c>
      <c r="B345">
        <v>821.05</v>
      </c>
      <c r="C345" s="9">
        <f t="shared" si="107"/>
        <v>106596.8371100559</v>
      </c>
      <c r="D345" s="6">
        <f t="shared" si="108"/>
        <v>5.5896704121254359E-2</v>
      </c>
      <c r="E345" s="2">
        <v>129.82989721704635</v>
      </c>
      <c r="F345" s="6">
        <f t="shared" si="109"/>
        <v>1.0585266785648235E-2</v>
      </c>
      <c r="G345" s="10">
        <f t="shared" si="110"/>
        <v>5.8190198022336256E-4</v>
      </c>
      <c r="H345" s="2">
        <f t="shared" si="111"/>
        <v>0.57073678754148105</v>
      </c>
    </row>
    <row r="346" spans="1:8" x14ac:dyDescent="0.35">
      <c r="A346" t="s">
        <v>16</v>
      </c>
      <c r="B346" s="40">
        <v>1337.7</v>
      </c>
      <c r="C346" s="9">
        <f t="shared" si="107"/>
        <v>97297.019801980219</v>
      </c>
      <c r="D346" s="6">
        <f t="shared" si="108"/>
        <v>5.1020113496763983E-2</v>
      </c>
      <c r="E346" s="2">
        <v>72.734559170202743</v>
      </c>
      <c r="F346" s="6">
        <f t="shared" si="109"/>
        <v>-4.0205494750948281E-3</v>
      </c>
      <c r="G346" s="10">
        <f t="shared" si="110"/>
        <v>-2.0469688859869604E-4</v>
      </c>
      <c r="H346" s="2">
        <f t="shared" si="111"/>
        <v>-0.20076928518736414</v>
      </c>
    </row>
    <row r="347" spans="1:8" x14ac:dyDescent="0.35">
      <c r="A347" t="s">
        <v>17</v>
      </c>
      <c r="B347">
        <v>1980.5</v>
      </c>
      <c r="C347" s="9">
        <f t="shared" si="107"/>
        <v>53866.59938103376</v>
      </c>
      <c r="D347" s="6">
        <f t="shared" si="108"/>
        <v>2.8246291815498394E-2</v>
      </c>
      <c r="E347" s="2">
        <v>27.198484918471983</v>
      </c>
      <c r="F347" s="6">
        <f t="shared" si="109"/>
        <v>-7.568113017154389E-4</v>
      </c>
      <c r="G347" s="10">
        <f t="shared" si="110"/>
        <v>-2.1262417530135528E-5</v>
      </c>
      <c r="H347" s="2">
        <f t="shared" si="111"/>
        <v>-2.0854446777887094E-2</v>
      </c>
    </row>
    <row r="349" spans="1:8" x14ac:dyDescent="0.35">
      <c r="A349" s="14">
        <v>46196</v>
      </c>
      <c r="C349" s="11">
        <f>SUM(C338:C347)</f>
        <v>1907032.6021158579</v>
      </c>
      <c r="G349" s="12" t="s">
        <v>18</v>
      </c>
      <c r="H349" s="19">
        <f>SUM(H338:H347)</f>
        <v>-6.0006944024150926</v>
      </c>
    </row>
    <row r="350" spans="1:8" x14ac:dyDescent="0.35">
      <c r="G350" s="12" t="s">
        <v>19</v>
      </c>
      <c r="H350" s="19">
        <f>H349+H335</f>
        <v>974.81189420985299</v>
      </c>
    </row>
    <row r="351" spans="1:8" x14ac:dyDescent="0.35">
      <c r="A351" s="8"/>
      <c r="B351" s="8"/>
      <c r="C351" s="8"/>
      <c r="D351" s="8"/>
      <c r="E351" s="8"/>
      <c r="F351" s="8"/>
      <c r="G351" s="8"/>
      <c r="H351" s="8"/>
    </row>
    <row r="353" spans="1:8" x14ac:dyDescent="0.35">
      <c r="A353" t="s">
        <v>8</v>
      </c>
      <c r="B353">
        <v>290.35000000000002</v>
      </c>
      <c r="C353" s="9">
        <f>B353*E353</f>
        <v>363262.20259319292</v>
      </c>
      <c r="D353" s="6">
        <f>C353/$C$364</f>
        <v>0.19051052255493497</v>
      </c>
      <c r="E353" s="2">
        <v>1251.1183144246354</v>
      </c>
      <c r="F353" s="6">
        <f>(B353-B338)/B338</f>
        <v>1.2068965517242163E-3</v>
      </c>
      <c r="G353" s="10">
        <f>D338*F353</f>
        <v>2.2961925745936863E-4</v>
      </c>
      <c r="H353" s="2">
        <f>G354*$H$335</f>
        <v>-0.26585333878888912</v>
      </c>
    </row>
    <row r="354" spans="1:8" x14ac:dyDescent="0.35">
      <c r="A354" t="s">
        <v>9</v>
      </c>
      <c r="B354">
        <v>2157.8000000000002</v>
      </c>
      <c r="C354" s="9">
        <f t="shared" ref="C354:C362" si="112">B354*E354</f>
        <v>506993.87563102343</v>
      </c>
      <c r="D354" s="6">
        <f t="shared" ref="D354:D362" si="113">C354/$C$364</f>
        <v>0.26588967277386627</v>
      </c>
      <c r="E354" s="2">
        <v>234.95869664983937</v>
      </c>
      <c r="F354" s="6">
        <f t="shared" ref="F354:F362" si="114">(B354-B339)/B339</f>
        <v>-1.0185185185184343E-3</v>
      </c>
      <c r="G354" s="10">
        <f t="shared" ref="G354:G362" si="115">D339*F354</f>
        <v>-2.7105416659164175E-4</v>
      </c>
      <c r="H354" s="2">
        <f t="shared" ref="H354:H362" si="116">G355*$H$335</f>
        <v>-0.95208630449157039</v>
      </c>
    </row>
    <row r="355" spans="1:8" x14ac:dyDescent="0.35">
      <c r="A355" t="s">
        <v>10</v>
      </c>
      <c r="B355">
        <v>1382.6</v>
      </c>
      <c r="C355" s="9">
        <f t="shared" si="112"/>
        <v>266608.33572698181</v>
      </c>
      <c r="D355" s="6">
        <f t="shared" si="113"/>
        <v>0.13982102457747037</v>
      </c>
      <c r="E355" s="2">
        <v>192.83114113046568</v>
      </c>
      <c r="F355" s="6">
        <f t="shared" si="114"/>
        <v>-6.8955609826175379E-3</v>
      </c>
      <c r="G355" s="10">
        <f t="shared" si="115"/>
        <v>-9.7071175018120239E-4</v>
      </c>
      <c r="H355" s="2">
        <f t="shared" si="116"/>
        <v>-0.29009927808981323</v>
      </c>
    </row>
    <row r="356" spans="1:8" x14ac:dyDescent="0.35">
      <c r="A356" t="s">
        <v>11</v>
      </c>
      <c r="B356">
        <v>1098.0999999999999</v>
      </c>
      <c r="C356" s="9">
        <f t="shared" si="112"/>
        <v>108664.02067118586</v>
      </c>
      <c r="D356" s="6">
        <f t="shared" si="113"/>
        <v>5.6988145788927719E-2</v>
      </c>
      <c r="E356" s="2">
        <v>98.956398024939318</v>
      </c>
      <c r="F356" s="6">
        <f t="shared" si="114"/>
        <v>-5.1639789816996249E-3</v>
      </c>
      <c r="G356" s="10">
        <f t="shared" si="115"/>
        <v>-2.9577442363404901E-4</v>
      </c>
      <c r="H356" s="2">
        <f t="shared" si="116"/>
        <v>0.41749294713066631</v>
      </c>
    </row>
    <row r="357" spans="1:8" x14ac:dyDescent="0.35">
      <c r="A357" t="s">
        <v>12</v>
      </c>
      <c r="B357">
        <v>506.7</v>
      </c>
      <c r="C357" s="9">
        <f t="shared" si="112"/>
        <v>171380.29739347886</v>
      </c>
      <c r="D357" s="6">
        <f t="shared" si="113"/>
        <v>8.9879293190916837E-2</v>
      </c>
      <c r="E357" s="2">
        <v>338.22833509666248</v>
      </c>
      <c r="F357" s="6">
        <f t="shared" si="114"/>
        <v>4.7590719809636672E-3</v>
      </c>
      <c r="G357" s="10">
        <f t="shared" si="115"/>
        <v>4.256602657612385E-4</v>
      </c>
      <c r="H357" s="2">
        <f t="shared" si="116"/>
        <v>0.26634576966842949</v>
      </c>
    </row>
    <row r="358" spans="1:8" x14ac:dyDescent="0.35">
      <c r="A358" t="s">
        <v>13</v>
      </c>
      <c r="B358">
        <v>5262.5</v>
      </c>
      <c r="C358" s="9">
        <f t="shared" si="112"/>
        <v>126756.87933620851</v>
      </c>
      <c r="D358" s="6">
        <f t="shared" si="113"/>
        <v>6.6476828988501088E-2</v>
      </c>
      <c r="E358" s="2">
        <v>24.086817926120382</v>
      </c>
      <c r="F358" s="6">
        <f t="shared" si="114"/>
        <v>4.1022705590536158E-3</v>
      </c>
      <c r="G358" s="10">
        <f t="shared" si="115"/>
        <v>2.7155623078337191E-4</v>
      </c>
      <c r="H358" s="2">
        <f t="shared" si="116"/>
        <v>-1.052530191311098E-2</v>
      </c>
    </row>
    <row r="359" spans="1:8" x14ac:dyDescent="0.35">
      <c r="A359" t="s">
        <v>14</v>
      </c>
      <c r="B359">
        <v>1020.5</v>
      </c>
      <c r="C359" s="9">
        <f t="shared" si="112"/>
        <v>104421.4361545267</v>
      </c>
      <c r="D359" s="6">
        <f t="shared" si="113"/>
        <v>5.4763149663588036E-2</v>
      </c>
      <c r="E359" s="2">
        <v>102.3237982895901</v>
      </c>
      <c r="F359" s="6">
        <f t="shared" si="114"/>
        <v>-1.959439600274767E-4</v>
      </c>
      <c r="G359" s="10">
        <f t="shared" si="115"/>
        <v>-1.0731205976875783E-5</v>
      </c>
      <c r="H359" s="2">
        <f t="shared" si="116"/>
        <v>-0.10683722757748426</v>
      </c>
    </row>
    <row r="360" spans="1:8" x14ac:dyDescent="0.35">
      <c r="A360" t="s">
        <v>15</v>
      </c>
      <c r="B360">
        <v>819.45</v>
      </c>
      <c r="C360" s="9">
        <f t="shared" si="112"/>
        <v>106389.10927450864</v>
      </c>
      <c r="D360" s="6">
        <f t="shared" si="113"/>
        <v>5.579508315853756E-2</v>
      </c>
      <c r="E360" s="2">
        <v>129.82989721704635</v>
      </c>
      <c r="F360" s="6">
        <f t="shared" si="114"/>
        <v>-1.9487241946287183E-3</v>
      </c>
      <c r="G360" s="10">
        <f t="shared" si="115"/>
        <v>-1.0892725972109116E-4</v>
      </c>
      <c r="H360" s="2">
        <f t="shared" si="116"/>
        <v>0.80053900667348665</v>
      </c>
    </row>
    <row r="361" spans="1:8" x14ac:dyDescent="0.35">
      <c r="A361" t="s">
        <v>16</v>
      </c>
      <c r="B361" s="40">
        <v>1359.1</v>
      </c>
      <c r="C361" s="9">
        <f t="shared" si="112"/>
        <v>98853.53936822254</v>
      </c>
      <c r="D361" s="6">
        <f t="shared" si="113"/>
        <v>5.1843102054124394E-2</v>
      </c>
      <c r="E361" s="2">
        <v>72.734559170202743</v>
      </c>
      <c r="F361" s="6">
        <f t="shared" si="114"/>
        <v>1.5997607834342426E-2</v>
      </c>
      <c r="G361" s="10">
        <f t="shared" si="115"/>
        <v>8.1619976738487123E-4</v>
      </c>
      <c r="H361" s="2">
        <f t="shared" si="116"/>
        <v>-0.21262592407609196</v>
      </c>
    </row>
    <row r="362" spans="1:8" x14ac:dyDescent="0.35">
      <c r="A362" t="s">
        <v>17</v>
      </c>
      <c r="B362">
        <v>1965.3</v>
      </c>
      <c r="C362" s="9">
        <f t="shared" si="112"/>
        <v>53453.182410272988</v>
      </c>
      <c r="D362" s="6">
        <f t="shared" si="113"/>
        <v>2.8033177249132797E-2</v>
      </c>
      <c r="E362" s="2">
        <v>27.198484918471983</v>
      </c>
      <c r="F362" s="6">
        <f t="shared" si="114"/>
        <v>-7.6748295884877787E-3</v>
      </c>
      <c r="G362" s="10">
        <f t="shared" si="115"/>
        <v>-2.1678547619064726E-4</v>
      </c>
      <c r="H362" s="2">
        <f t="shared" si="116"/>
        <v>0</v>
      </c>
    </row>
    <row r="364" spans="1:8" x14ac:dyDescent="0.35">
      <c r="A364" s="14">
        <v>46197</v>
      </c>
      <c r="C364" s="11">
        <f>SUM(C353:C362)</f>
        <v>1906782.8785596022</v>
      </c>
      <c r="G364" s="12" t="s">
        <v>18</v>
      </c>
      <c r="H364" s="19">
        <f>SUM(H353:H362)</f>
        <v>-0.35364965146437743</v>
      </c>
    </row>
    <row r="365" spans="1:8" x14ac:dyDescent="0.35">
      <c r="G365" s="12" t="s">
        <v>19</v>
      </c>
      <c r="H365" s="19">
        <f>H364+H350</f>
        <v>974.45824455838863</v>
      </c>
    </row>
    <row r="366" spans="1:8" x14ac:dyDescent="0.35">
      <c r="A366" s="8"/>
      <c r="B366" s="8"/>
      <c r="C366" s="8"/>
      <c r="D366" s="8"/>
      <c r="E366" s="8"/>
      <c r="F366" s="8"/>
      <c r="G366" s="8"/>
      <c r="H366" s="8"/>
    </row>
    <row r="368" spans="1:8" x14ac:dyDescent="0.35">
      <c r="A368" t="s">
        <v>8</v>
      </c>
      <c r="B368">
        <v>290</v>
      </c>
      <c r="C368" s="9">
        <f>B368*E368</f>
        <v>362824.31118314428</v>
      </c>
      <c r="D368" s="6">
        <f>C368/$C$379</f>
        <v>0.18877980441981487</v>
      </c>
      <c r="E368" s="2">
        <v>1251.1183144246354</v>
      </c>
      <c r="F368" s="6">
        <f>(B368-B353)/B353</f>
        <v>-1.2054417082831847E-3</v>
      </c>
      <c r="G368" s="10">
        <f>D353*F368</f>
        <v>-2.2964932975454302E-4</v>
      </c>
      <c r="H368" s="2">
        <f>G368*$H$365</f>
        <v>-0.22378368273662252</v>
      </c>
    </row>
    <row r="369" spans="1:8" x14ac:dyDescent="0.35">
      <c r="A369" t="s">
        <v>9</v>
      </c>
      <c r="B369">
        <v>2174.1999999999998</v>
      </c>
      <c r="C369" s="9">
        <f t="shared" ref="C369:C377" si="117">B369*E369</f>
        <v>510847.19825608074</v>
      </c>
      <c r="D369" s="6">
        <f t="shared" ref="D369:D377" si="118">C369/$C$379</f>
        <v>0.26579705715065521</v>
      </c>
      <c r="E369" s="2">
        <v>234.95869664983937</v>
      </c>
      <c r="F369" s="6">
        <f t="shared" ref="F369:F377" si="119">(B369-B354)/B354</f>
        <v>7.600333673185483E-3</v>
      </c>
      <c r="G369" s="10">
        <f t="shared" ref="G369:G377" si="120">D354*F369</f>
        <v>2.0208502333354853E-3</v>
      </c>
      <c r="H369" s="2">
        <f t="shared" ref="H369:H377" si="121">G369*$H$365</f>
        <v>1.9692341708915071</v>
      </c>
    </row>
    <row r="370" spans="1:8" x14ac:dyDescent="0.35">
      <c r="A370" t="s">
        <v>10</v>
      </c>
      <c r="B370">
        <v>1402.6</v>
      </c>
      <c r="C370" s="9">
        <f t="shared" si="117"/>
        <v>270464.95854959113</v>
      </c>
      <c r="D370" s="6">
        <f t="shared" si="118"/>
        <v>0.14072464386663505</v>
      </c>
      <c r="E370" s="2">
        <v>192.83114113046568</v>
      </c>
      <c r="F370" s="6">
        <f t="shared" si="119"/>
        <v>1.4465499783017505E-2</v>
      </c>
      <c r="G370" s="10">
        <f t="shared" si="120"/>
        <v>2.0225810006866828E-3</v>
      </c>
      <c r="H370" s="2">
        <f t="shared" si="121"/>
        <v>1.970920731406294</v>
      </c>
    </row>
    <row r="371" spans="1:8" x14ac:dyDescent="0.35">
      <c r="A371" t="s">
        <v>11</v>
      </c>
      <c r="B371">
        <v>1131.3</v>
      </c>
      <c r="C371" s="9">
        <f t="shared" si="117"/>
        <v>111949.37308561384</v>
      </c>
      <c r="D371" s="6">
        <f t="shared" si="118"/>
        <v>5.8247973205288565E-2</v>
      </c>
      <c r="E371" s="2">
        <v>98.956398024939318</v>
      </c>
      <c r="F371" s="6">
        <f t="shared" si="119"/>
        <v>3.0234040615608821E-2</v>
      </c>
      <c r="G371" s="10">
        <f t="shared" si="120"/>
        <v>1.7229819143906775E-3</v>
      </c>
      <c r="H371" s="2">
        <f t="shared" si="121"/>
        <v>1.6789739317029915</v>
      </c>
    </row>
    <row r="372" spans="1:8" x14ac:dyDescent="0.35">
      <c r="A372" t="s">
        <v>12</v>
      </c>
      <c r="B372">
        <v>507.65</v>
      </c>
      <c r="C372" s="9">
        <f t="shared" si="117"/>
        <v>171701.61431182071</v>
      </c>
      <c r="D372" s="6">
        <f t="shared" si="118"/>
        <v>8.9337445615628439E-2</v>
      </c>
      <c r="E372" s="2">
        <v>338.22833509666248</v>
      </c>
      <c r="F372" s="6">
        <f t="shared" si="119"/>
        <v>1.8748766528517637E-3</v>
      </c>
      <c r="G372" s="10">
        <f t="shared" si="120"/>
        <v>1.6851258837846848E-4</v>
      </c>
      <c r="H372" s="2">
        <f t="shared" si="121"/>
        <v>0.1642084810572727</v>
      </c>
    </row>
    <row r="373" spans="1:8" x14ac:dyDescent="0.35">
      <c r="A373" t="s">
        <v>13</v>
      </c>
      <c r="B373">
        <v>5237</v>
      </c>
      <c r="C373" s="9">
        <f t="shared" si="117"/>
        <v>126142.66547909244</v>
      </c>
      <c r="D373" s="6">
        <f t="shared" si="118"/>
        <v>6.5632833810072136E-2</v>
      </c>
      <c r="E373" s="2">
        <v>24.086817926120382</v>
      </c>
      <c r="F373" s="6">
        <f t="shared" si="119"/>
        <v>-4.8456057007125889E-3</v>
      </c>
      <c r="G373" s="10">
        <f t="shared" si="120"/>
        <v>-3.2212050151197676E-4</v>
      </c>
      <c r="H373" s="2">
        <f t="shared" si="121"/>
        <v>-0.31389297843962866</v>
      </c>
    </row>
    <row r="374" spans="1:8" x14ac:dyDescent="0.35">
      <c r="A374" t="s">
        <v>14</v>
      </c>
      <c r="B374">
        <v>1034.5999999999999</v>
      </c>
      <c r="C374" s="9">
        <f t="shared" si="117"/>
        <v>105864.20171040991</v>
      </c>
      <c r="D374" s="6">
        <f t="shared" si="118"/>
        <v>5.508181970712292E-2</v>
      </c>
      <c r="E374" s="2">
        <v>102.3237982895901</v>
      </c>
      <c r="F374" s="6">
        <f t="shared" si="119"/>
        <v>1.3816756491915638E-2</v>
      </c>
      <c r="G374" s="10">
        <f t="shared" si="120"/>
        <v>7.566491036321277E-4</v>
      </c>
      <c r="H374" s="2">
        <f t="shared" si="121"/>
        <v>0.73732295727204145</v>
      </c>
    </row>
    <row r="375" spans="1:8" x14ac:dyDescent="0.35">
      <c r="A375" t="s">
        <v>15</v>
      </c>
      <c r="B375">
        <v>825.8</v>
      </c>
      <c r="C375" s="9">
        <f t="shared" si="117"/>
        <v>107213.52912183687</v>
      </c>
      <c r="D375" s="6">
        <f t="shared" si="118"/>
        <v>5.5783883369827418E-2</v>
      </c>
      <c r="E375" s="2">
        <v>129.82989721704635</v>
      </c>
      <c r="F375" s="6">
        <f t="shared" si="119"/>
        <v>7.7491000061015421E-3</v>
      </c>
      <c r="G375" s="10">
        <f t="shared" si="120"/>
        <v>4.3236167924425945E-4</v>
      </c>
      <c r="H375" s="2">
        <f t="shared" si="121"/>
        <v>0.42131840297067813</v>
      </c>
    </row>
    <row r="376" spans="1:8" x14ac:dyDescent="0.35">
      <c r="A376" t="s">
        <v>16</v>
      </c>
      <c r="B376" s="40">
        <v>1384.9</v>
      </c>
      <c r="C376" s="9">
        <f t="shared" si="117"/>
        <v>100730.09099481379</v>
      </c>
      <c r="D376" s="6">
        <f t="shared" si="118"/>
        <v>5.2410509139208201E-2</v>
      </c>
      <c r="E376" s="2">
        <v>72.734559170202743</v>
      </c>
      <c r="F376" s="6">
        <f t="shared" si="119"/>
        <v>1.8983150614377296E-2</v>
      </c>
      <c r="G376" s="10">
        <f t="shared" si="120"/>
        <v>9.8414541460997641E-4</v>
      </c>
      <c r="H376" s="2">
        <f t="shared" si="121"/>
        <v>0.95900861311102514</v>
      </c>
    </row>
    <row r="377" spans="1:8" x14ac:dyDescent="0.35">
      <c r="A377" t="s">
        <v>17</v>
      </c>
      <c r="B377">
        <v>1993</v>
      </c>
      <c r="C377" s="9">
        <f t="shared" si="117"/>
        <v>54206.580442514663</v>
      </c>
      <c r="D377" s="6">
        <f t="shared" si="118"/>
        <v>2.8204029715747116E-2</v>
      </c>
      <c r="E377" s="2">
        <v>27.198484918471983</v>
      </c>
      <c r="F377" s="6">
        <f t="shared" si="119"/>
        <v>1.4094540273749578E-2</v>
      </c>
      <c r="G377" s="10">
        <f t="shared" si="120"/>
        <v>3.9511474573906258E-4</v>
      </c>
      <c r="H377" s="2">
        <f t="shared" si="121"/>
        <v>0.385022821532021</v>
      </c>
    </row>
    <row r="379" spans="1:8" x14ac:dyDescent="0.35">
      <c r="A379" s="14">
        <v>46198</v>
      </c>
      <c r="C379" s="11">
        <f>SUM(C368:C377)</f>
        <v>1921944.5231349184</v>
      </c>
      <c r="G379" s="12" t="s">
        <v>18</v>
      </c>
      <c r="H379" s="19">
        <f>SUM(H368:H377)</f>
        <v>7.7483334487675801</v>
      </c>
    </row>
    <row r="380" spans="1:8" x14ac:dyDescent="0.35">
      <c r="G380" s="12" t="s">
        <v>19</v>
      </c>
      <c r="H380" s="19">
        <f>H379+H365</f>
        <v>982.20657800715617</v>
      </c>
    </row>
    <row r="381" spans="1:8" x14ac:dyDescent="0.35">
      <c r="A381" s="8"/>
      <c r="B381" s="8"/>
      <c r="C381" s="8"/>
      <c r="D381" s="8"/>
      <c r="E381" s="8"/>
      <c r="F381" s="8"/>
      <c r="G381" s="8"/>
      <c r="H381" s="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D1212-FDC0-4E81-8D78-67885549115E}">
  <sheetPr codeName="Sheet2"/>
  <dimension ref="A1:N13"/>
  <sheetViews>
    <sheetView zoomScale="78" workbookViewId="0">
      <selection activeCell="Z32" sqref="Z32"/>
    </sheetView>
  </sheetViews>
  <sheetFormatPr defaultRowHeight="14.5" x14ac:dyDescent="0.35"/>
  <cols>
    <col min="1" max="1" width="26.81640625" bestFit="1" customWidth="1"/>
    <col min="2" max="2" width="9.1796875" bestFit="1" customWidth="1"/>
    <col min="5" max="5" width="37.6328125" bestFit="1" customWidth="1"/>
    <col min="6" max="6" width="7.1796875" bestFit="1" customWidth="1"/>
    <col min="7" max="7" width="9.54296875" bestFit="1" customWidth="1"/>
    <col min="8" max="8" width="10.453125" bestFit="1" customWidth="1"/>
    <col min="9" max="9" width="20.1796875" bestFit="1" customWidth="1"/>
    <col min="11" max="11" width="59.54296875" bestFit="1" customWidth="1"/>
    <col min="12" max="12" width="7.1796875" bestFit="1" customWidth="1"/>
    <col min="13" max="13" width="8.90625" bestFit="1" customWidth="1"/>
    <col min="14" max="14" width="8" bestFit="1" customWidth="1"/>
  </cols>
  <sheetData>
    <row r="1" spans="1:14" x14ac:dyDescent="0.35">
      <c r="A1" s="1" t="s">
        <v>21</v>
      </c>
      <c r="B1" s="12" t="s">
        <v>22</v>
      </c>
      <c r="E1" s="16" t="s">
        <v>39</v>
      </c>
      <c r="F1" s="16" t="s">
        <v>24</v>
      </c>
      <c r="G1" s="16" t="s">
        <v>31</v>
      </c>
      <c r="H1" s="16" t="s">
        <v>32</v>
      </c>
      <c r="I1" s="16" t="s">
        <v>26</v>
      </c>
      <c r="K1" s="16" t="s">
        <v>40</v>
      </c>
      <c r="L1" s="16" t="s">
        <v>24</v>
      </c>
      <c r="M1" s="16" t="s">
        <v>25</v>
      </c>
      <c r="N1" s="16" t="s">
        <v>26</v>
      </c>
    </row>
    <row r="2" spans="1:14" x14ac:dyDescent="0.35">
      <c r="A2" s="17" t="s">
        <v>8</v>
      </c>
      <c r="B2">
        <v>18.100000000000001</v>
      </c>
      <c r="E2" t="s">
        <v>8</v>
      </c>
      <c r="F2">
        <v>18.100000000000001</v>
      </c>
      <c r="G2" t="s">
        <v>33</v>
      </c>
      <c r="H2" t="s">
        <v>34</v>
      </c>
      <c r="I2" t="s">
        <v>37</v>
      </c>
      <c r="K2" t="s">
        <v>10</v>
      </c>
      <c r="L2">
        <v>79.400000000000006</v>
      </c>
      <c r="M2">
        <v>6.07</v>
      </c>
      <c r="N2" t="s">
        <v>30</v>
      </c>
    </row>
    <row r="3" spans="1:14" x14ac:dyDescent="0.35">
      <c r="A3" s="17" t="s">
        <v>9</v>
      </c>
      <c r="B3">
        <v>47.4</v>
      </c>
      <c r="E3" t="s">
        <v>9</v>
      </c>
      <c r="F3">
        <v>47.4</v>
      </c>
      <c r="G3" t="s">
        <v>33</v>
      </c>
      <c r="H3" t="s">
        <v>33</v>
      </c>
      <c r="I3" t="s">
        <v>37</v>
      </c>
      <c r="K3" t="s">
        <v>11</v>
      </c>
      <c r="L3">
        <v>76.900000000000006</v>
      </c>
      <c r="M3">
        <v>6.13</v>
      </c>
      <c r="N3" t="s">
        <v>30</v>
      </c>
    </row>
    <row r="4" spans="1:14" x14ac:dyDescent="0.35">
      <c r="A4" s="17" t="s">
        <v>10</v>
      </c>
      <c r="B4">
        <v>79.400000000000006</v>
      </c>
      <c r="E4" t="s">
        <v>13</v>
      </c>
      <c r="F4">
        <v>50.7</v>
      </c>
      <c r="G4" t="s">
        <v>33</v>
      </c>
      <c r="H4" t="s">
        <v>33</v>
      </c>
      <c r="I4" t="s">
        <v>37</v>
      </c>
      <c r="K4" t="s">
        <v>12</v>
      </c>
      <c r="L4">
        <v>57.3</v>
      </c>
      <c r="M4">
        <v>2.39</v>
      </c>
      <c r="N4" t="s">
        <v>30</v>
      </c>
    </row>
    <row r="5" spans="1:14" x14ac:dyDescent="0.35">
      <c r="A5" s="17" t="s">
        <v>11</v>
      </c>
      <c r="B5">
        <v>76.900000000000006</v>
      </c>
      <c r="E5" t="s">
        <v>16</v>
      </c>
      <c r="F5">
        <v>51</v>
      </c>
      <c r="G5" t="s">
        <v>35</v>
      </c>
      <c r="H5" t="s">
        <v>35</v>
      </c>
      <c r="I5" t="s">
        <v>38</v>
      </c>
      <c r="K5" t="s">
        <v>14</v>
      </c>
      <c r="L5">
        <v>51.6</v>
      </c>
      <c r="M5">
        <v>9.4</v>
      </c>
      <c r="N5" t="s">
        <v>30</v>
      </c>
    </row>
    <row r="6" spans="1:14" x14ac:dyDescent="0.35">
      <c r="A6" s="17" t="s">
        <v>12</v>
      </c>
      <c r="B6">
        <v>57.3</v>
      </c>
      <c r="E6" t="s">
        <v>17</v>
      </c>
      <c r="F6">
        <v>44</v>
      </c>
      <c r="G6" t="s">
        <v>33</v>
      </c>
      <c r="H6" t="s">
        <v>33</v>
      </c>
      <c r="I6" t="s">
        <v>37</v>
      </c>
      <c r="K6" t="s">
        <v>15</v>
      </c>
      <c r="L6">
        <v>60.8</v>
      </c>
      <c r="M6">
        <v>5.42</v>
      </c>
      <c r="N6" t="s">
        <v>30</v>
      </c>
    </row>
    <row r="7" spans="1:14" x14ac:dyDescent="0.35">
      <c r="A7" s="17" t="s">
        <v>13</v>
      </c>
      <c r="B7">
        <v>50.7</v>
      </c>
    </row>
    <row r="8" spans="1:14" x14ac:dyDescent="0.35">
      <c r="A8" s="17" t="s">
        <v>14</v>
      </c>
      <c r="B8">
        <v>51.6</v>
      </c>
      <c r="K8" s="18" t="s">
        <v>27</v>
      </c>
    </row>
    <row r="9" spans="1:14" x14ac:dyDescent="0.35">
      <c r="A9" s="17" t="s">
        <v>15</v>
      </c>
      <c r="B9">
        <v>60.8</v>
      </c>
      <c r="K9" s="18" t="s">
        <v>28</v>
      </c>
    </row>
    <row r="10" spans="1:14" x14ac:dyDescent="0.35">
      <c r="A10" s="17" t="s">
        <v>16</v>
      </c>
      <c r="B10">
        <v>51</v>
      </c>
      <c r="K10" s="18" t="s">
        <v>29</v>
      </c>
    </row>
    <row r="11" spans="1:14" x14ac:dyDescent="0.35">
      <c r="A11" s="17" t="s">
        <v>17</v>
      </c>
      <c r="B11">
        <v>44</v>
      </c>
    </row>
    <row r="13" spans="1:14" x14ac:dyDescent="0.35">
      <c r="A13" t="s">
        <v>23</v>
      </c>
      <c r="B13">
        <f>MEDIAN(B2:B11)</f>
        <v>51.3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13F38-15CD-4801-99CB-AAEA588E9DD0}">
  <dimension ref="A1:I13"/>
  <sheetViews>
    <sheetView workbookViewId="0">
      <selection activeCell="C17" sqref="C17"/>
    </sheetView>
  </sheetViews>
  <sheetFormatPr defaultRowHeight="14.5" x14ac:dyDescent="0.35"/>
  <cols>
    <col min="1" max="1" width="24" bestFit="1" customWidth="1"/>
    <col min="2" max="2" width="15.1796875" customWidth="1"/>
    <col min="3" max="3" width="14.453125" bestFit="1" customWidth="1"/>
    <col min="4" max="4" width="17.26953125" customWidth="1"/>
    <col min="5" max="5" width="20.90625" customWidth="1"/>
    <col min="6" max="6" width="17" customWidth="1"/>
    <col min="7" max="7" width="14.453125" bestFit="1" customWidth="1"/>
    <col min="8" max="8" width="12.26953125" bestFit="1" customWidth="1"/>
    <col min="9" max="9" width="24" bestFit="1" customWidth="1"/>
  </cols>
  <sheetData>
    <row r="1" spans="1:9" x14ac:dyDescent="0.35">
      <c r="B1" s="39" t="s">
        <v>47</v>
      </c>
      <c r="C1" s="39" t="s">
        <v>47</v>
      </c>
      <c r="D1" s="39" t="s">
        <v>48</v>
      </c>
      <c r="E1" s="39" t="s">
        <v>47</v>
      </c>
      <c r="F1" s="39" t="s">
        <v>47</v>
      </c>
      <c r="G1" s="39" t="s">
        <v>47</v>
      </c>
    </row>
    <row r="2" spans="1:9" x14ac:dyDescent="0.35">
      <c r="A2" s="22" t="s">
        <v>0</v>
      </c>
      <c r="B2" s="23" t="s">
        <v>45</v>
      </c>
      <c r="C2" s="23" t="s">
        <v>46</v>
      </c>
      <c r="D2" s="23" t="s">
        <v>42</v>
      </c>
      <c r="E2" s="23" t="s">
        <v>41</v>
      </c>
      <c r="F2" s="23" t="s">
        <v>43</v>
      </c>
      <c r="G2" s="23" t="s">
        <v>44</v>
      </c>
      <c r="H2" s="23" t="s">
        <v>54</v>
      </c>
    </row>
    <row r="3" spans="1:9" x14ac:dyDescent="0.35">
      <c r="A3" s="35" t="s">
        <v>8</v>
      </c>
      <c r="B3" s="26">
        <v>3.04</v>
      </c>
      <c r="C3" s="26">
        <v>1.92</v>
      </c>
      <c r="D3" s="26">
        <v>0.03</v>
      </c>
      <c r="E3" s="28">
        <v>333.57</v>
      </c>
      <c r="F3" s="29">
        <v>29.33</v>
      </c>
      <c r="G3" s="26">
        <v>26.93</v>
      </c>
      <c r="H3" s="24">
        <v>9</v>
      </c>
      <c r="I3" s="25" t="s">
        <v>49</v>
      </c>
    </row>
    <row r="4" spans="1:9" x14ac:dyDescent="0.35">
      <c r="A4" s="35" t="s">
        <v>9</v>
      </c>
      <c r="B4" s="32">
        <v>1.22</v>
      </c>
      <c r="C4" s="32">
        <v>0.92</v>
      </c>
      <c r="D4" s="27">
        <v>0.03</v>
      </c>
      <c r="E4" s="31">
        <v>35.26</v>
      </c>
      <c r="F4" s="32">
        <v>22.27</v>
      </c>
      <c r="G4" s="31">
        <v>16.97</v>
      </c>
      <c r="H4" s="24">
        <v>19</v>
      </c>
      <c r="I4" s="21" t="s">
        <v>51</v>
      </c>
    </row>
    <row r="5" spans="1:9" x14ac:dyDescent="0.35">
      <c r="A5" s="35" t="s">
        <v>13</v>
      </c>
      <c r="B5" s="34">
        <v>1.1200000000000001</v>
      </c>
      <c r="C5" s="34">
        <v>0.8</v>
      </c>
      <c r="D5" s="29">
        <v>0.27</v>
      </c>
      <c r="E5" s="33">
        <v>30.17</v>
      </c>
      <c r="F5" s="28">
        <v>53.55</v>
      </c>
      <c r="G5" s="34">
        <v>13.25</v>
      </c>
      <c r="H5" s="24">
        <v>24</v>
      </c>
      <c r="I5" s="5" t="s">
        <v>53</v>
      </c>
    </row>
    <row r="6" spans="1:9" x14ac:dyDescent="0.35">
      <c r="A6" s="35" t="s">
        <v>16</v>
      </c>
      <c r="B6" s="28">
        <v>2.0499999999999998</v>
      </c>
      <c r="C6" s="30">
        <v>1.53</v>
      </c>
      <c r="D6" s="28">
        <v>0.05</v>
      </c>
      <c r="E6" s="34">
        <v>15.62</v>
      </c>
      <c r="F6" s="34">
        <v>21.41</v>
      </c>
      <c r="G6" s="33">
        <v>14.6</v>
      </c>
      <c r="H6" s="24">
        <v>20</v>
      </c>
      <c r="I6" s="16" t="s">
        <v>52</v>
      </c>
    </row>
    <row r="7" spans="1:9" x14ac:dyDescent="0.35">
      <c r="A7" s="35" t="s">
        <v>17</v>
      </c>
      <c r="B7" s="29">
        <v>1.28</v>
      </c>
      <c r="C7" s="29">
        <v>1.06</v>
      </c>
      <c r="D7" s="26">
        <v>0.03</v>
      </c>
      <c r="E7" s="26">
        <v>478.29</v>
      </c>
      <c r="F7" s="26">
        <v>82.73</v>
      </c>
      <c r="G7" s="28">
        <v>22.27</v>
      </c>
      <c r="H7" s="24">
        <v>11</v>
      </c>
      <c r="I7" s="20" t="s">
        <v>50</v>
      </c>
    </row>
    <row r="9" spans="1:9" x14ac:dyDescent="0.35">
      <c r="H9" s="25" t="s">
        <v>49</v>
      </c>
      <c r="I9" s="35" t="s">
        <v>8</v>
      </c>
    </row>
    <row r="10" spans="1:9" x14ac:dyDescent="0.35">
      <c r="H10" s="20" t="s">
        <v>50</v>
      </c>
      <c r="I10" s="35" t="s">
        <v>17</v>
      </c>
    </row>
    <row r="11" spans="1:9" x14ac:dyDescent="0.35">
      <c r="H11" s="21" t="s">
        <v>51</v>
      </c>
      <c r="I11" s="35" t="s">
        <v>9</v>
      </c>
    </row>
    <row r="12" spans="1:9" x14ac:dyDescent="0.35">
      <c r="D12" s="17"/>
      <c r="H12" s="16" t="s">
        <v>52</v>
      </c>
      <c r="I12" s="35" t="s">
        <v>16</v>
      </c>
    </row>
    <row r="13" spans="1:9" x14ac:dyDescent="0.35">
      <c r="H13" s="5" t="s">
        <v>53</v>
      </c>
      <c r="I13" s="35"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4ED9-1D3E-47D9-AA4D-AE801B2A19E2}">
  <dimension ref="A1:D286"/>
  <sheetViews>
    <sheetView topLeftCell="A267" workbookViewId="0">
      <selection activeCell="B280" sqref="B280:B281"/>
    </sheetView>
  </sheetViews>
  <sheetFormatPr defaultRowHeight="14.5" x14ac:dyDescent="0.35"/>
  <cols>
    <col min="1" max="1" width="25" bestFit="1" customWidth="1"/>
    <col min="2" max="2" width="9.90625" bestFit="1" customWidth="1"/>
    <col min="3" max="3" width="14.81640625" bestFit="1" customWidth="1"/>
    <col min="4" max="4" width="13.81640625" bestFit="1" customWidth="1"/>
  </cols>
  <sheetData>
    <row r="1" spans="1:4" x14ac:dyDescent="0.35">
      <c r="A1" s="16" t="s">
        <v>0</v>
      </c>
      <c r="B1" s="16" t="s">
        <v>1</v>
      </c>
      <c r="C1" s="16" t="s">
        <v>56</v>
      </c>
      <c r="D1" s="16" t="s">
        <v>55</v>
      </c>
    </row>
    <row r="2" spans="1:4" x14ac:dyDescent="0.35">
      <c r="A2" s="35" t="s">
        <v>8</v>
      </c>
      <c r="B2">
        <v>308.5</v>
      </c>
      <c r="C2" s="9">
        <f>D2/B2</f>
        <v>113452.18800648299</v>
      </c>
      <c r="D2">
        <v>35000000</v>
      </c>
    </row>
    <row r="3" spans="1:4" x14ac:dyDescent="0.35">
      <c r="A3" s="35" t="s">
        <v>9</v>
      </c>
      <c r="B3">
        <v>2179</v>
      </c>
      <c r="C3" s="9">
        <f t="shared" ref="C3:C6" si="0">D3/B3</f>
        <v>8031.206975676916</v>
      </c>
      <c r="D3">
        <v>17500000</v>
      </c>
    </row>
    <row r="4" spans="1:4" x14ac:dyDescent="0.35">
      <c r="A4" s="35" t="s">
        <v>13</v>
      </c>
      <c r="B4">
        <v>5333</v>
      </c>
      <c r="C4" s="9">
        <f t="shared" si="0"/>
        <v>2343.8964935308459</v>
      </c>
      <c r="D4">
        <v>12500000</v>
      </c>
    </row>
    <row r="5" spans="1:4" x14ac:dyDescent="0.35">
      <c r="A5" s="35" t="s">
        <v>16</v>
      </c>
      <c r="B5">
        <v>1272.5999999999999</v>
      </c>
      <c r="C5" s="9">
        <f t="shared" si="0"/>
        <v>7857.9286500078588</v>
      </c>
      <c r="D5">
        <v>10000000</v>
      </c>
    </row>
    <row r="6" spans="1:4" x14ac:dyDescent="0.35">
      <c r="A6" s="35" t="s">
        <v>17</v>
      </c>
      <c r="B6">
        <v>2164.9</v>
      </c>
      <c r="C6" s="9">
        <f t="shared" si="0"/>
        <v>11547.877500115479</v>
      </c>
      <c r="D6">
        <v>25000000</v>
      </c>
    </row>
    <row r="8" spans="1:4" x14ac:dyDescent="0.35">
      <c r="A8" s="14">
        <v>46163</v>
      </c>
      <c r="B8" t="s">
        <v>60</v>
      </c>
      <c r="C8" s="38">
        <v>10000000</v>
      </c>
      <c r="D8" s="36">
        <v>100000000</v>
      </c>
    </row>
    <row r="9" spans="1:4" x14ac:dyDescent="0.35">
      <c r="B9" t="s">
        <v>57</v>
      </c>
    </row>
    <row r="10" spans="1:4" x14ac:dyDescent="0.35">
      <c r="B10" t="s">
        <v>58</v>
      </c>
      <c r="C10" t="s">
        <v>59</v>
      </c>
      <c r="D10" s="37">
        <f>D8/C8</f>
        <v>10</v>
      </c>
    </row>
    <row r="11" spans="1:4" x14ac:dyDescent="0.35">
      <c r="A11" s="8"/>
      <c r="B11" s="8"/>
      <c r="C11" s="8"/>
      <c r="D11" s="8"/>
    </row>
    <row r="13" spans="1:4" x14ac:dyDescent="0.35">
      <c r="A13" s="35" t="s">
        <v>8</v>
      </c>
      <c r="B13">
        <v>301.7</v>
      </c>
      <c r="C13" s="9">
        <v>113452.18800648299</v>
      </c>
      <c r="D13">
        <f>B13*C13</f>
        <v>34228525.121555917</v>
      </c>
    </row>
    <row r="14" spans="1:4" x14ac:dyDescent="0.35">
      <c r="A14" s="35" t="s">
        <v>9</v>
      </c>
      <c r="B14">
        <v>2203.6</v>
      </c>
      <c r="C14" s="9">
        <v>8031.206975676916</v>
      </c>
      <c r="D14">
        <f t="shared" ref="D14:D17" si="1">B14*C14</f>
        <v>17697567.691601653</v>
      </c>
    </row>
    <row r="15" spans="1:4" x14ac:dyDescent="0.35">
      <c r="A15" s="35" t="s">
        <v>13</v>
      </c>
      <c r="B15">
        <v>5331.5</v>
      </c>
      <c r="C15" s="9">
        <v>2343.8964935308459</v>
      </c>
      <c r="D15">
        <f t="shared" si="1"/>
        <v>12496484.155259704</v>
      </c>
    </row>
    <row r="16" spans="1:4" x14ac:dyDescent="0.35">
      <c r="A16" s="35" t="s">
        <v>16</v>
      </c>
      <c r="B16">
        <v>1282.0999999999999</v>
      </c>
      <c r="C16" s="9">
        <v>7857.9286500078588</v>
      </c>
      <c r="D16">
        <f t="shared" si="1"/>
        <v>10074650.322175074</v>
      </c>
    </row>
    <row r="17" spans="1:4" x14ac:dyDescent="0.35">
      <c r="A17" s="35" t="s">
        <v>17</v>
      </c>
      <c r="B17">
        <v>2156.9</v>
      </c>
      <c r="C17" s="9">
        <v>11547.877500115479</v>
      </c>
      <c r="D17">
        <f t="shared" si="1"/>
        <v>24907616.979999077</v>
      </c>
    </row>
    <row r="19" spans="1:4" x14ac:dyDescent="0.35">
      <c r="A19" s="14">
        <v>46164</v>
      </c>
      <c r="B19" t="s">
        <v>60</v>
      </c>
      <c r="C19" s="38">
        <v>10000000</v>
      </c>
      <c r="D19">
        <f>SUM(D13:D17)</f>
        <v>99404844.270591438</v>
      </c>
    </row>
    <row r="20" spans="1:4" x14ac:dyDescent="0.35">
      <c r="B20" t="s">
        <v>57</v>
      </c>
    </row>
    <row r="21" spans="1:4" x14ac:dyDescent="0.35">
      <c r="B21" t="s">
        <v>58</v>
      </c>
      <c r="C21" t="s">
        <v>59</v>
      </c>
      <c r="D21" s="37">
        <f>D19/C19</f>
        <v>9.9404844270591433</v>
      </c>
    </row>
    <row r="22" spans="1:4" x14ac:dyDescent="0.35">
      <c r="A22" s="8"/>
      <c r="B22" s="8"/>
      <c r="C22" s="8"/>
      <c r="D22" s="8"/>
    </row>
    <row r="24" spans="1:4" x14ac:dyDescent="0.35">
      <c r="A24" s="35" t="s">
        <v>8</v>
      </c>
      <c r="B24">
        <v>303.95</v>
      </c>
      <c r="C24" s="9">
        <v>113452.18800648299</v>
      </c>
      <c r="D24">
        <f>C24*B24</f>
        <v>34483792.544570506</v>
      </c>
    </row>
    <row r="25" spans="1:4" x14ac:dyDescent="0.35">
      <c r="A25" s="35" t="s">
        <v>9</v>
      </c>
      <c r="B25">
        <v>2196.5</v>
      </c>
      <c r="C25" s="9">
        <v>8031.206975676916</v>
      </c>
      <c r="D25">
        <f t="shared" ref="D25:D28" si="2">C25*B25</f>
        <v>17640546.122074347</v>
      </c>
    </row>
    <row r="26" spans="1:4" x14ac:dyDescent="0.35">
      <c r="A26" s="35" t="s">
        <v>13</v>
      </c>
      <c r="B26">
        <v>5327</v>
      </c>
      <c r="C26" s="9">
        <v>2343.8964935308459</v>
      </c>
      <c r="D26">
        <f t="shared" si="2"/>
        <v>12485936.621038817</v>
      </c>
    </row>
    <row r="27" spans="1:4" x14ac:dyDescent="0.35">
      <c r="A27" s="35" t="s">
        <v>16</v>
      </c>
      <c r="B27">
        <v>1284.0999999999999</v>
      </c>
      <c r="C27" s="9">
        <v>7857.9286500078588</v>
      </c>
      <c r="D27">
        <f t="shared" si="2"/>
        <v>10090366.179475091</v>
      </c>
    </row>
    <row r="28" spans="1:4" x14ac:dyDescent="0.35">
      <c r="A28" s="35" t="s">
        <v>17</v>
      </c>
      <c r="B28">
        <v>2097</v>
      </c>
      <c r="C28" s="9">
        <v>11547.877500115479</v>
      </c>
      <c r="D28">
        <f t="shared" si="2"/>
        <v>24215899.117742158</v>
      </c>
    </row>
    <row r="30" spans="1:4" x14ac:dyDescent="0.35">
      <c r="A30" s="14">
        <v>46167</v>
      </c>
      <c r="B30" t="s">
        <v>60</v>
      </c>
      <c r="C30" s="38">
        <v>10000000</v>
      </c>
      <c r="D30">
        <f>SUM(D24:D28)</f>
        <v>98916540.584900916</v>
      </c>
    </row>
    <row r="31" spans="1:4" x14ac:dyDescent="0.35">
      <c r="B31" t="s">
        <v>57</v>
      </c>
    </row>
    <row r="32" spans="1:4" x14ac:dyDescent="0.35">
      <c r="B32" t="s">
        <v>58</v>
      </c>
      <c r="C32" t="s">
        <v>59</v>
      </c>
      <c r="D32" s="37">
        <f>D30/C30</f>
        <v>9.8916540584900918</v>
      </c>
    </row>
    <row r="33" spans="1:4" x14ac:dyDescent="0.35">
      <c r="A33" s="8"/>
      <c r="B33" s="8"/>
      <c r="C33" s="8"/>
      <c r="D33" s="8"/>
    </row>
    <row r="35" spans="1:4" x14ac:dyDescent="0.35">
      <c r="A35" s="35" t="s">
        <v>8</v>
      </c>
      <c r="B35">
        <v>301.64999999999998</v>
      </c>
      <c r="C35" s="9">
        <v>113452.18800648299</v>
      </c>
      <c r="D35">
        <f>C35*B35</f>
        <v>34222852.512155592</v>
      </c>
    </row>
    <row r="36" spans="1:4" x14ac:dyDescent="0.35">
      <c r="A36" s="35" t="s">
        <v>9</v>
      </c>
      <c r="B36">
        <v>2209.4</v>
      </c>
      <c r="C36" s="9">
        <v>8031.206975676916</v>
      </c>
      <c r="D36">
        <f t="shared" ref="D36:D39" si="3">C36*B36</f>
        <v>17744148.692060579</v>
      </c>
    </row>
    <row r="37" spans="1:4" x14ac:dyDescent="0.35">
      <c r="A37" s="35" t="s">
        <v>13</v>
      </c>
      <c r="B37">
        <v>5338</v>
      </c>
      <c r="C37" s="9">
        <v>2343.8964935308459</v>
      </c>
      <c r="D37">
        <f t="shared" si="3"/>
        <v>12511719.482467655</v>
      </c>
    </row>
    <row r="38" spans="1:4" x14ac:dyDescent="0.35">
      <c r="A38" s="35" t="s">
        <v>16</v>
      </c>
      <c r="B38">
        <v>1293.4000000000001</v>
      </c>
      <c r="C38" s="9">
        <v>7857.9286500078588</v>
      </c>
      <c r="D38">
        <f t="shared" si="3"/>
        <v>10163444.915920164</v>
      </c>
    </row>
    <row r="39" spans="1:4" x14ac:dyDescent="0.35">
      <c r="A39" s="35" t="s">
        <v>17</v>
      </c>
      <c r="B39">
        <v>2077.1</v>
      </c>
      <c r="C39" s="9">
        <v>11547.877500115479</v>
      </c>
      <c r="D39">
        <f t="shared" si="3"/>
        <v>23986096.355489861</v>
      </c>
    </row>
    <row r="41" spans="1:4" x14ac:dyDescent="0.35">
      <c r="A41" s="14">
        <v>46168</v>
      </c>
      <c r="B41" t="s">
        <v>60</v>
      </c>
      <c r="C41" s="38">
        <v>10000000</v>
      </c>
      <c r="D41">
        <f>SUM(D35:D39)</f>
        <v>98628261.958093852</v>
      </c>
    </row>
    <row r="42" spans="1:4" x14ac:dyDescent="0.35">
      <c r="B42" t="s">
        <v>57</v>
      </c>
    </row>
    <row r="43" spans="1:4" x14ac:dyDescent="0.35">
      <c r="B43" t="s">
        <v>58</v>
      </c>
      <c r="C43" t="s">
        <v>59</v>
      </c>
      <c r="D43" s="37">
        <f>D41/C41</f>
        <v>9.8628261958093848</v>
      </c>
    </row>
    <row r="44" spans="1:4" x14ac:dyDescent="0.35">
      <c r="A44" s="8"/>
      <c r="B44" s="8"/>
      <c r="C44" s="8"/>
      <c r="D44" s="8"/>
    </row>
    <row r="46" spans="1:4" x14ac:dyDescent="0.35">
      <c r="A46" s="35" t="s">
        <v>8</v>
      </c>
      <c r="B46">
        <v>291.95</v>
      </c>
      <c r="C46" s="9">
        <v>113452.18800648299</v>
      </c>
      <c r="D46">
        <f>C46*B46</f>
        <v>33122366.288492706</v>
      </c>
    </row>
    <row r="47" spans="1:4" x14ac:dyDescent="0.35">
      <c r="A47" s="35" t="s">
        <v>9</v>
      </c>
      <c r="B47">
        <v>2198.4</v>
      </c>
      <c r="C47" s="9">
        <v>8031.206975676916</v>
      </c>
      <c r="D47">
        <f t="shared" ref="D47:D50" si="4">C47*B47</f>
        <v>17655805.415328134</v>
      </c>
    </row>
    <row r="48" spans="1:4" x14ac:dyDescent="0.35">
      <c r="A48" s="35" t="s">
        <v>13</v>
      </c>
      <c r="B48">
        <v>5335.5</v>
      </c>
      <c r="C48" s="9">
        <v>2343.8964935308459</v>
      </c>
      <c r="D48">
        <f t="shared" si="4"/>
        <v>12505859.741233828</v>
      </c>
    </row>
    <row r="49" spans="1:4" x14ac:dyDescent="0.35">
      <c r="A49" s="35" t="s">
        <v>16</v>
      </c>
      <c r="B49">
        <v>1302.5</v>
      </c>
      <c r="C49" s="9">
        <v>7857.9286500078588</v>
      </c>
      <c r="D49">
        <f t="shared" si="4"/>
        <v>10234952.066635236</v>
      </c>
    </row>
    <row r="50" spans="1:4" x14ac:dyDescent="0.35">
      <c r="A50" s="35" t="s">
        <v>17</v>
      </c>
      <c r="B50">
        <v>2087.4</v>
      </c>
      <c r="C50" s="9">
        <v>11547.877500115479</v>
      </c>
      <c r="D50">
        <f t="shared" si="4"/>
        <v>24105039.49374105</v>
      </c>
    </row>
    <row r="52" spans="1:4" x14ac:dyDescent="0.35">
      <c r="A52" s="14">
        <v>46169</v>
      </c>
      <c r="B52" t="s">
        <v>60</v>
      </c>
      <c r="C52" s="38">
        <v>10000000</v>
      </c>
      <c r="D52">
        <f>SUM(D46:D50)</f>
        <v>97624023.005430952</v>
      </c>
    </row>
    <row r="53" spans="1:4" x14ac:dyDescent="0.35">
      <c r="B53" t="s">
        <v>57</v>
      </c>
    </row>
    <row r="54" spans="1:4" x14ac:dyDescent="0.35">
      <c r="B54" t="s">
        <v>58</v>
      </c>
      <c r="C54" t="s">
        <v>59</v>
      </c>
      <c r="D54" s="37">
        <f>D52/C52</f>
        <v>9.762402300543096</v>
      </c>
    </row>
    <row r="55" spans="1:4" x14ac:dyDescent="0.35">
      <c r="A55" s="8"/>
      <c r="B55" s="8"/>
      <c r="C55" s="8"/>
      <c r="D55" s="8"/>
    </row>
    <row r="57" spans="1:4" x14ac:dyDescent="0.35">
      <c r="A57" s="35" t="s">
        <v>8</v>
      </c>
      <c r="B57">
        <v>286.89999999999998</v>
      </c>
      <c r="C57" s="9">
        <v>113452.18800648299</v>
      </c>
      <c r="D57">
        <f>C57*B57</f>
        <v>32549432.739059966</v>
      </c>
    </row>
    <row r="58" spans="1:4" x14ac:dyDescent="0.35">
      <c r="A58" s="35" t="s">
        <v>9</v>
      </c>
      <c r="B58">
        <v>2153.5</v>
      </c>
      <c r="C58" s="9">
        <v>8031.206975676916</v>
      </c>
      <c r="D58">
        <f t="shared" ref="D58:D61" si="5">C58*B58</f>
        <v>17295204.22212024</v>
      </c>
    </row>
    <row r="59" spans="1:4" x14ac:dyDescent="0.35">
      <c r="A59" s="35" t="s">
        <v>13</v>
      </c>
      <c r="B59">
        <v>5204.5</v>
      </c>
      <c r="C59" s="9">
        <v>2343.8964935308459</v>
      </c>
      <c r="D59">
        <f t="shared" si="5"/>
        <v>12198809.300581288</v>
      </c>
    </row>
    <row r="60" spans="1:4" x14ac:dyDescent="0.35">
      <c r="A60" s="35" t="s">
        <v>16</v>
      </c>
      <c r="B60">
        <v>1270</v>
      </c>
      <c r="C60" s="9">
        <v>7857.9286500078588</v>
      </c>
      <c r="D60">
        <f t="shared" si="5"/>
        <v>9979569.3855099808</v>
      </c>
    </row>
    <row r="61" spans="1:4" x14ac:dyDescent="0.35">
      <c r="A61" s="35" t="s">
        <v>17</v>
      </c>
      <c r="B61">
        <v>2059.9</v>
      </c>
      <c r="C61" s="9">
        <v>11547.877500115479</v>
      </c>
      <c r="D61">
        <f t="shared" si="5"/>
        <v>23787472.862487875</v>
      </c>
    </row>
    <row r="63" spans="1:4" x14ac:dyDescent="0.35">
      <c r="A63" s="14">
        <v>46171</v>
      </c>
      <c r="B63" t="s">
        <v>60</v>
      </c>
      <c r="C63" s="38">
        <v>10000000</v>
      </c>
      <c r="D63">
        <f>SUM(D57:D61)</f>
        <v>95810488.509759367</v>
      </c>
    </row>
    <row r="64" spans="1:4" x14ac:dyDescent="0.35">
      <c r="B64" t="s">
        <v>57</v>
      </c>
    </row>
    <row r="65" spans="1:4" x14ac:dyDescent="0.35">
      <c r="B65" t="s">
        <v>58</v>
      </c>
      <c r="C65" t="s">
        <v>59</v>
      </c>
      <c r="D65" s="37">
        <f>D63/C63</f>
        <v>9.5810488509759359</v>
      </c>
    </row>
    <row r="66" spans="1:4" x14ac:dyDescent="0.35">
      <c r="A66" s="8"/>
      <c r="B66" s="8"/>
      <c r="C66" s="8"/>
      <c r="D66" s="8"/>
    </row>
    <row r="68" spans="1:4" x14ac:dyDescent="0.35">
      <c r="A68" s="35" t="s">
        <v>8</v>
      </c>
      <c r="B68">
        <v>279.64999999999998</v>
      </c>
      <c r="C68" s="9">
        <v>113452.18800648299</v>
      </c>
      <c r="D68">
        <f>C68*B68</f>
        <v>31726904.376012966</v>
      </c>
    </row>
    <row r="69" spans="1:4" x14ac:dyDescent="0.35">
      <c r="A69" s="35" t="s">
        <v>9</v>
      </c>
      <c r="B69">
        <v>2084.3000000000002</v>
      </c>
      <c r="C69" s="9">
        <v>8031.206975676916</v>
      </c>
      <c r="D69">
        <f t="shared" ref="D69:D72" si="6">C69*B69</f>
        <v>16739444.699403398</v>
      </c>
    </row>
    <row r="70" spans="1:4" x14ac:dyDescent="0.35">
      <c r="A70" s="35" t="s">
        <v>13</v>
      </c>
      <c r="B70">
        <v>5157.5</v>
      </c>
      <c r="C70" s="9">
        <v>2343.8964935308459</v>
      </c>
      <c r="D70">
        <f t="shared" si="6"/>
        <v>12088646.165385338</v>
      </c>
    </row>
    <row r="71" spans="1:4" x14ac:dyDescent="0.35">
      <c r="A71" s="35" t="s">
        <v>16</v>
      </c>
      <c r="B71">
        <v>1248.8</v>
      </c>
      <c r="C71" s="9">
        <v>7857.9286500078588</v>
      </c>
      <c r="D71">
        <f t="shared" si="6"/>
        <v>9812981.2981298137</v>
      </c>
    </row>
    <row r="72" spans="1:4" x14ac:dyDescent="0.35">
      <c r="A72" s="35" t="s">
        <v>17</v>
      </c>
      <c r="B72">
        <v>1990.1</v>
      </c>
      <c r="C72" s="9">
        <v>11547.877500115479</v>
      </c>
      <c r="D72">
        <f t="shared" si="6"/>
        <v>22981431.012979813</v>
      </c>
    </row>
    <row r="74" spans="1:4" x14ac:dyDescent="0.35">
      <c r="A74" s="14">
        <v>46174</v>
      </c>
      <c r="B74" t="s">
        <v>60</v>
      </c>
      <c r="C74" s="38">
        <v>10000000</v>
      </c>
      <c r="D74">
        <f>SUM(D68:D72)</f>
        <v>93349407.551911324</v>
      </c>
    </row>
    <row r="75" spans="1:4" x14ac:dyDescent="0.35">
      <c r="B75" t="s">
        <v>57</v>
      </c>
    </row>
    <row r="76" spans="1:4" x14ac:dyDescent="0.35">
      <c r="B76" t="s">
        <v>58</v>
      </c>
      <c r="C76" t="s">
        <v>59</v>
      </c>
      <c r="D76" s="37">
        <f>D74/C74</f>
        <v>9.3349407551911323</v>
      </c>
    </row>
    <row r="77" spans="1:4" x14ac:dyDescent="0.35">
      <c r="A77" s="8"/>
      <c r="B77" s="8"/>
      <c r="C77" s="8"/>
      <c r="D77" s="8"/>
    </row>
    <row r="79" spans="1:4" x14ac:dyDescent="0.35">
      <c r="A79" s="35" t="s">
        <v>8</v>
      </c>
      <c r="B79">
        <v>283.25</v>
      </c>
      <c r="C79" s="9">
        <v>113452.18800648299</v>
      </c>
      <c r="D79">
        <f>C79*B79</f>
        <v>32135332.252836306</v>
      </c>
    </row>
    <row r="80" spans="1:4" x14ac:dyDescent="0.35">
      <c r="A80" s="35" t="s">
        <v>9</v>
      </c>
      <c r="B80">
        <v>2093.6999999999998</v>
      </c>
      <c r="C80" s="9">
        <v>8031.206975676916</v>
      </c>
      <c r="D80">
        <f t="shared" ref="D80:D83" si="7">C80*B80</f>
        <v>16814938.044974759</v>
      </c>
    </row>
    <row r="81" spans="1:4" x14ac:dyDescent="0.35">
      <c r="A81" s="35" t="s">
        <v>13</v>
      </c>
      <c r="B81">
        <v>5117</v>
      </c>
      <c r="C81" s="9">
        <v>2343.8964935308459</v>
      </c>
      <c r="D81">
        <f t="shared" si="7"/>
        <v>11993718.357397338</v>
      </c>
    </row>
    <row r="82" spans="1:4" x14ac:dyDescent="0.35">
      <c r="A82" s="35" t="s">
        <v>16</v>
      </c>
      <c r="B82">
        <v>1275</v>
      </c>
      <c r="C82" s="9">
        <v>7857.9286500078588</v>
      </c>
      <c r="D82">
        <f t="shared" si="7"/>
        <v>10018859.02876002</v>
      </c>
    </row>
    <row r="83" spans="1:4" x14ac:dyDescent="0.35">
      <c r="A83" s="35" t="s">
        <v>17</v>
      </c>
      <c r="B83">
        <v>1998.8</v>
      </c>
      <c r="C83" s="9">
        <v>11547.877500115479</v>
      </c>
      <c r="D83">
        <f t="shared" si="7"/>
        <v>23081897.547230817</v>
      </c>
    </row>
    <row r="85" spans="1:4" x14ac:dyDescent="0.35">
      <c r="A85" s="14">
        <v>46175</v>
      </c>
      <c r="B85" t="s">
        <v>60</v>
      </c>
      <c r="C85" s="38">
        <v>10000000</v>
      </c>
      <c r="D85">
        <f>SUM(D79:D83)</f>
        <v>94044745.231199235</v>
      </c>
    </row>
    <row r="86" spans="1:4" x14ac:dyDescent="0.35">
      <c r="B86" t="s">
        <v>57</v>
      </c>
    </row>
    <row r="87" spans="1:4" x14ac:dyDescent="0.35">
      <c r="B87" t="s">
        <v>58</v>
      </c>
      <c r="C87" t="s">
        <v>59</v>
      </c>
      <c r="D87" s="37">
        <f>D85/C85</f>
        <v>9.4044745231199229</v>
      </c>
    </row>
    <row r="88" spans="1:4" x14ac:dyDescent="0.35">
      <c r="A88" s="8"/>
      <c r="B88" s="8"/>
      <c r="C88" s="8"/>
      <c r="D88" s="8"/>
    </row>
    <row r="90" spans="1:4" x14ac:dyDescent="0.35">
      <c r="A90" s="35" t="s">
        <v>8</v>
      </c>
      <c r="B90">
        <v>277</v>
      </c>
      <c r="C90" s="9">
        <v>113452.18800648299</v>
      </c>
      <c r="D90">
        <f>C90*B90</f>
        <v>31426256.077795789</v>
      </c>
    </row>
    <row r="91" spans="1:4" x14ac:dyDescent="0.35">
      <c r="A91" s="35" t="s">
        <v>9</v>
      </c>
      <c r="B91">
        <v>2090.6</v>
      </c>
      <c r="C91" s="9">
        <v>8031.206975676916</v>
      </c>
      <c r="D91">
        <f t="shared" ref="D91:D94" si="8">C91*B91</f>
        <v>16790041.303350162</v>
      </c>
    </row>
    <row r="92" spans="1:4" x14ac:dyDescent="0.35">
      <c r="A92" s="35" t="s">
        <v>13</v>
      </c>
      <c r="B92">
        <v>5064</v>
      </c>
      <c r="C92" s="9">
        <v>2343.8964935308459</v>
      </c>
      <c r="D92">
        <f t="shared" si="8"/>
        <v>11869491.843240203</v>
      </c>
    </row>
    <row r="93" spans="1:4" x14ac:dyDescent="0.35">
      <c r="A93" s="35" t="s">
        <v>16</v>
      </c>
      <c r="B93">
        <v>1262.9000000000001</v>
      </c>
      <c r="C93" s="9">
        <v>7857.9286500078588</v>
      </c>
      <c r="D93">
        <f t="shared" si="8"/>
        <v>9923778.0920949262</v>
      </c>
    </row>
    <row r="94" spans="1:4" x14ac:dyDescent="0.35">
      <c r="A94" s="35" t="s">
        <v>17</v>
      </c>
      <c r="B94">
        <v>2018.6</v>
      </c>
      <c r="C94" s="9">
        <v>11547.877500115479</v>
      </c>
      <c r="D94">
        <f t="shared" si="8"/>
        <v>23310545.521733105</v>
      </c>
    </row>
    <row r="96" spans="1:4" x14ac:dyDescent="0.35">
      <c r="A96" s="14">
        <v>46176</v>
      </c>
      <c r="B96" t="s">
        <v>60</v>
      </c>
      <c r="C96" s="38">
        <v>10000000</v>
      </c>
      <c r="D96">
        <f>SUM(D90:D94)</f>
        <v>93320112.838214189</v>
      </c>
    </row>
    <row r="97" spans="1:4" x14ac:dyDescent="0.35">
      <c r="B97" t="s">
        <v>57</v>
      </c>
    </row>
    <row r="98" spans="1:4" x14ac:dyDescent="0.35">
      <c r="B98" t="s">
        <v>58</v>
      </c>
      <c r="C98" t="s">
        <v>59</v>
      </c>
      <c r="D98" s="37">
        <f>D96/C96</f>
        <v>9.3320112838214193</v>
      </c>
    </row>
    <row r="99" spans="1:4" x14ac:dyDescent="0.35">
      <c r="A99" s="8"/>
      <c r="B99" s="8"/>
      <c r="C99" s="8"/>
      <c r="D99" s="8"/>
    </row>
    <row r="101" spans="1:4" x14ac:dyDescent="0.35">
      <c r="A101" s="35" t="s">
        <v>8</v>
      </c>
      <c r="B101">
        <v>280.3</v>
      </c>
      <c r="C101" s="9">
        <v>113452.18800648299</v>
      </c>
      <c r="D101">
        <f>C101*B101</f>
        <v>31800648.298217185</v>
      </c>
    </row>
    <row r="102" spans="1:4" x14ac:dyDescent="0.35">
      <c r="A102" s="35" t="s">
        <v>9</v>
      </c>
      <c r="B102">
        <v>2079.4</v>
      </c>
      <c r="C102" s="9">
        <v>8031.206975676916</v>
      </c>
      <c r="D102">
        <f t="shared" ref="D102:D105" si="9">C102*B102</f>
        <v>16700091.785222581</v>
      </c>
    </row>
    <row r="103" spans="1:4" x14ac:dyDescent="0.35">
      <c r="A103" s="35" t="s">
        <v>13</v>
      </c>
      <c r="B103">
        <v>5090</v>
      </c>
      <c r="C103" s="9">
        <v>2343.8964935308459</v>
      </c>
      <c r="D103">
        <f t="shared" si="9"/>
        <v>11930433.152072005</v>
      </c>
    </row>
    <row r="104" spans="1:4" x14ac:dyDescent="0.35">
      <c r="A104" s="35" t="s">
        <v>16</v>
      </c>
      <c r="B104">
        <v>1249.7</v>
      </c>
      <c r="C104" s="9">
        <v>7857.9286500078588</v>
      </c>
      <c r="D104">
        <f t="shared" si="9"/>
        <v>9820053.4339148216</v>
      </c>
    </row>
    <row r="105" spans="1:4" x14ac:dyDescent="0.35">
      <c r="A105" s="35" t="s">
        <v>17</v>
      </c>
      <c r="B105">
        <v>2004.4</v>
      </c>
      <c r="C105" s="9">
        <v>11547.877500115479</v>
      </c>
      <c r="D105">
        <f t="shared" si="9"/>
        <v>23146565.661231466</v>
      </c>
    </row>
    <row r="107" spans="1:4" x14ac:dyDescent="0.35">
      <c r="A107" s="14">
        <v>46177</v>
      </c>
      <c r="B107" t="s">
        <v>60</v>
      </c>
      <c r="C107" s="38">
        <v>10000000</v>
      </c>
      <c r="D107">
        <f>SUM(D101:D105)</f>
        <v>93397792.330658048</v>
      </c>
    </row>
    <row r="108" spans="1:4" x14ac:dyDescent="0.35">
      <c r="B108" t="s">
        <v>57</v>
      </c>
    </row>
    <row r="109" spans="1:4" x14ac:dyDescent="0.35">
      <c r="B109" t="s">
        <v>58</v>
      </c>
      <c r="C109" t="s">
        <v>59</v>
      </c>
      <c r="D109" s="37">
        <f>D107/C107</f>
        <v>9.3397792330658049</v>
      </c>
    </row>
    <row r="110" spans="1:4" x14ac:dyDescent="0.35">
      <c r="A110" s="8"/>
      <c r="B110" s="8"/>
      <c r="C110" s="8"/>
      <c r="D110" s="8"/>
    </row>
    <row r="112" spans="1:4" x14ac:dyDescent="0.35">
      <c r="A112" s="35" t="s">
        <v>8</v>
      </c>
      <c r="B112">
        <v>280.7</v>
      </c>
      <c r="C112" s="9">
        <v>113452.18800648299</v>
      </c>
      <c r="D112">
        <f>C112*B112</f>
        <v>31846029.173419774</v>
      </c>
    </row>
    <row r="113" spans="1:4" x14ac:dyDescent="0.35">
      <c r="A113" s="35" t="s">
        <v>9</v>
      </c>
      <c r="B113">
        <v>2121.5</v>
      </c>
      <c r="C113" s="9">
        <v>8031.206975676916</v>
      </c>
      <c r="D113">
        <f t="shared" ref="D113:D116" si="10">C113*B113</f>
        <v>17038205.598898578</v>
      </c>
    </row>
    <row r="114" spans="1:4" x14ac:dyDescent="0.35">
      <c r="A114" s="35" t="s">
        <v>13</v>
      </c>
      <c r="B114">
        <v>5120.5</v>
      </c>
      <c r="C114" s="9">
        <v>2343.8964935308459</v>
      </c>
      <c r="D114">
        <f t="shared" si="10"/>
        <v>12001921.995124696</v>
      </c>
    </row>
    <row r="115" spans="1:4" x14ac:dyDescent="0.35">
      <c r="A115" s="35" t="s">
        <v>16</v>
      </c>
      <c r="B115">
        <v>1246.7</v>
      </c>
      <c r="C115" s="9">
        <v>7857.9286500078588</v>
      </c>
      <c r="D115">
        <f t="shared" si="10"/>
        <v>9796479.6479647979</v>
      </c>
    </row>
    <row r="116" spans="1:4" x14ac:dyDescent="0.35">
      <c r="A116" s="35" t="s">
        <v>17</v>
      </c>
      <c r="B116">
        <v>1999.5</v>
      </c>
      <c r="C116" s="9">
        <v>11547.877500115479</v>
      </c>
      <c r="D116">
        <f t="shared" si="10"/>
        <v>23089981.061480902</v>
      </c>
    </row>
    <row r="118" spans="1:4" x14ac:dyDescent="0.35">
      <c r="A118" s="14">
        <v>46178</v>
      </c>
      <c r="B118" t="s">
        <v>60</v>
      </c>
      <c r="C118" s="38">
        <v>10000000</v>
      </c>
      <c r="D118">
        <f>SUM(D112:D116)</f>
        <v>93772617.476888746</v>
      </c>
    </row>
    <row r="119" spans="1:4" x14ac:dyDescent="0.35">
      <c r="B119" t="s">
        <v>57</v>
      </c>
    </row>
    <row r="120" spans="1:4" x14ac:dyDescent="0.35">
      <c r="B120" t="s">
        <v>58</v>
      </c>
      <c r="C120" t="s">
        <v>59</v>
      </c>
      <c r="D120" s="37">
        <f>D118/C118</f>
        <v>9.3772617476888751</v>
      </c>
    </row>
    <row r="121" spans="1:4" x14ac:dyDescent="0.35">
      <c r="A121" s="8"/>
      <c r="B121" s="8"/>
      <c r="C121" s="8"/>
      <c r="D121" s="8"/>
    </row>
    <row r="123" spans="1:4" x14ac:dyDescent="0.35">
      <c r="A123" s="35" t="s">
        <v>8</v>
      </c>
      <c r="B123">
        <v>279.45</v>
      </c>
      <c r="C123" s="9">
        <v>113452.18800648299</v>
      </c>
      <c r="D123">
        <f>C123*B123</f>
        <v>31704213.938411672</v>
      </c>
    </row>
    <row r="124" spans="1:4" x14ac:dyDescent="0.35">
      <c r="A124" s="35" t="s">
        <v>9</v>
      </c>
      <c r="B124">
        <v>2110.1</v>
      </c>
      <c r="C124" s="9">
        <v>8031.206975676916</v>
      </c>
      <c r="D124">
        <f t="shared" ref="D124:D127" si="11">C124*B124</f>
        <v>16946649.839375861</v>
      </c>
    </row>
    <row r="125" spans="1:4" x14ac:dyDescent="0.35">
      <c r="A125" s="35" t="s">
        <v>13</v>
      </c>
      <c r="B125">
        <v>5078.5</v>
      </c>
      <c r="C125" s="9">
        <v>2343.8964935308459</v>
      </c>
      <c r="D125">
        <f t="shared" si="11"/>
        <v>11903478.342396401</v>
      </c>
    </row>
    <row r="126" spans="1:4" x14ac:dyDescent="0.35">
      <c r="A126" s="35" t="s">
        <v>16</v>
      </c>
      <c r="B126">
        <v>1238.5</v>
      </c>
      <c r="C126" s="9">
        <v>7857.9286500078588</v>
      </c>
      <c r="D126">
        <f t="shared" si="11"/>
        <v>9732044.6330347322</v>
      </c>
    </row>
    <row r="127" spans="1:4" x14ac:dyDescent="0.35">
      <c r="A127" s="35" t="s">
        <v>17</v>
      </c>
      <c r="B127">
        <v>2005.5</v>
      </c>
      <c r="C127" s="9">
        <v>11547.877500115479</v>
      </c>
      <c r="D127">
        <f t="shared" si="11"/>
        <v>23159268.326481592</v>
      </c>
    </row>
    <row r="129" spans="1:4" x14ac:dyDescent="0.35">
      <c r="A129" s="14">
        <v>46181</v>
      </c>
      <c r="B129" t="s">
        <v>60</v>
      </c>
      <c r="C129" s="38">
        <v>10000000</v>
      </c>
      <c r="D129">
        <f>SUM(D123:D127)</f>
        <v>93445655.079700261</v>
      </c>
    </row>
    <row r="130" spans="1:4" x14ac:dyDescent="0.35">
      <c r="B130" t="s">
        <v>57</v>
      </c>
    </row>
    <row r="131" spans="1:4" x14ac:dyDescent="0.35">
      <c r="B131" t="s">
        <v>58</v>
      </c>
      <c r="C131" t="s">
        <v>59</v>
      </c>
      <c r="D131" s="37">
        <f>D129/C129</f>
        <v>9.3445655079700263</v>
      </c>
    </row>
    <row r="132" spans="1:4" x14ac:dyDescent="0.35">
      <c r="A132" s="8"/>
      <c r="B132" s="8"/>
      <c r="C132" s="8"/>
      <c r="D132" s="8"/>
    </row>
    <row r="134" spans="1:4" x14ac:dyDescent="0.35">
      <c r="A134" s="35" t="s">
        <v>8</v>
      </c>
      <c r="B134">
        <v>280</v>
      </c>
      <c r="C134" s="9">
        <v>113452.18800648299</v>
      </c>
      <c r="D134">
        <f>C134*B134</f>
        <v>31766612.641815238</v>
      </c>
    </row>
    <row r="135" spans="1:4" x14ac:dyDescent="0.35">
      <c r="A135" s="35" t="s">
        <v>9</v>
      </c>
      <c r="B135">
        <v>2132.8000000000002</v>
      </c>
      <c r="C135" s="9">
        <v>8031.206975676916</v>
      </c>
      <c r="D135">
        <f t="shared" ref="D135:D138" si="12">C135*B135</f>
        <v>17128958.237723727</v>
      </c>
    </row>
    <row r="136" spans="1:4" x14ac:dyDescent="0.35">
      <c r="A136" s="35" t="s">
        <v>13</v>
      </c>
      <c r="B136">
        <v>5107.5</v>
      </c>
      <c r="C136" s="9">
        <v>2343.8964935308459</v>
      </c>
      <c r="D136">
        <f t="shared" si="12"/>
        <v>11971451.340708796</v>
      </c>
    </row>
    <row r="137" spans="1:4" x14ac:dyDescent="0.35">
      <c r="A137" s="35" t="s">
        <v>16</v>
      </c>
      <c r="B137">
        <v>1257.2</v>
      </c>
      <c r="C137" s="9">
        <v>7857.9286500078588</v>
      </c>
      <c r="D137">
        <f t="shared" si="12"/>
        <v>9878987.8987898808</v>
      </c>
    </row>
    <row r="138" spans="1:4" x14ac:dyDescent="0.35">
      <c r="A138" s="35" t="s">
        <v>17</v>
      </c>
      <c r="B138">
        <v>2023.4</v>
      </c>
      <c r="C138" s="9">
        <v>11547.877500115479</v>
      </c>
      <c r="D138">
        <f t="shared" si="12"/>
        <v>23365975.333733663</v>
      </c>
    </row>
    <row r="140" spans="1:4" x14ac:dyDescent="0.35">
      <c r="A140" s="14">
        <v>46182</v>
      </c>
      <c r="B140" t="s">
        <v>60</v>
      </c>
      <c r="C140" s="38">
        <v>10000000</v>
      </c>
      <c r="D140">
        <f>SUM(D134:D138)</f>
        <v>94111985.452771306</v>
      </c>
    </row>
    <row r="141" spans="1:4" x14ac:dyDescent="0.35">
      <c r="B141" t="s">
        <v>57</v>
      </c>
    </row>
    <row r="142" spans="1:4" x14ac:dyDescent="0.35">
      <c r="B142" t="s">
        <v>58</v>
      </c>
      <c r="C142" t="s">
        <v>59</v>
      </c>
      <c r="D142" s="37">
        <f>D140/C140</f>
        <v>9.4111985452771307</v>
      </c>
    </row>
    <row r="143" spans="1:4" x14ac:dyDescent="0.35">
      <c r="A143" s="8"/>
      <c r="B143" s="8"/>
      <c r="C143" s="8"/>
      <c r="D143" s="8"/>
    </row>
    <row r="145" spans="1:4" x14ac:dyDescent="0.35">
      <c r="A145" s="35" t="s">
        <v>8</v>
      </c>
      <c r="B145">
        <v>283.64999999999998</v>
      </c>
      <c r="C145" s="9">
        <v>113452.18800648299</v>
      </c>
      <c r="D145">
        <f>C145*B145</f>
        <v>32180713.128038898</v>
      </c>
    </row>
    <row r="146" spans="1:4" x14ac:dyDescent="0.35">
      <c r="A146" s="35" t="s">
        <v>9</v>
      </c>
      <c r="B146">
        <v>2169.5</v>
      </c>
      <c r="C146" s="9">
        <v>8031.206975676916</v>
      </c>
      <c r="D146">
        <f t="shared" ref="D146:D149" si="13">C146*B146</f>
        <v>17423703.533731069</v>
      </c>
    </row>
    <row r="147" spans="1:4" x14ac:dyDescent="0.35">
      <c r="A147" s="35" t="s">
        <v>13</v>
      </c>
      <c r="B147">
        <v>5171</v>
      </c>
      <c r="C147" s="9">
        <v>2343.8964935308459</v>
      </c>
      <c r="D147">
        <f t="shared" si="13"/>
        <v>12120288.768048003</v>
      </c>
    </row>
    <row r="148" spans="1:4" x14ac:dyDescent="0.35">
      <c r="A148" s="35" t="s">
        <v>16</v>
      </c>
      <c r="B148">
        <v>1259.9000000000001</v>
      </c>
      <c r="C148" s="9">
        <v>7857.9286500078588</v>
      </c>
      <c r="D148">
        <f t="shared" si="13"/>
        <v>9900204.3061449025</v>
      </c>
    </row>
    <row r="149" spans="1:4" x14ac:dyDescent="0.35">
      <c r="A149" s="35" t="s">
        <v>17</v>
      </c>
      <c r="B149">
        <v>2056.3000000000002</v>
      </c>
      <c r="C149" s="9">
        <v>11547.877500115479</v>
      </c>
      <c r="D149">
        <f t="shared" si="13"/>
        <v>23745900.50348746</v>
      </c>
    </row>
    <row r="151" spans="1:4" x14ac:dyDescent="0.35">
      <c r="A151" s="14">
        <v>46183</v>
      </c>
      <c r="B151" t="s">
        <v>60</v>
      </c>
      <c r="C151" s="38">
        <v>10000000</v>
      </c>
      <c r="D151">
        <f>SUM(D145:D149)</f>
        <v>95370810.239450336</v>
      </c>
    </row>
    <row r="152" spans="1:4" x14ac:dyDescent="0.35">
      <c r="B152" t="s">
        <v>57</v>
      </c>
    </row>
    <row r="153" spans="1:4" x14ac:dyDescent="0.35">
      <c r="B153" t="s">
        <v>58</v>
      </c>
      <c r="C153" t="s">
        <v>59</v>
      </c>
      <c r="D153" s="37">
        <f>D151/C151</f>
        <v>9.5370810239450332</v>
      </c>
    </row>
    <row r="154" spans="1:4" x14ac:dyDescent="0.35">
      <c r="A154" s="8"/>
      <c r="B154" s="8"/>
      <c r="C154" s="8"/>
      <c r="D154" s="8"/>
    </row>
    <row r="156" spans="1:4" x14ac:dyDescent="0.35">
      <c r="A156" s="35" t="s">
        <v>8</v>
      </c>
      <c r="B156">
        <v>282.39999999999998</v>
      </c>
      <c r="C156" s="9">
        <v>113452.18800648299</v>
      </c>
      <c r="D156">
        <f>C156*B156</f>
        <v>32038897.893030792</v>
      </c>
    </row>
    <row r="157" spans="1:4" x14ac:dyDescent="0.35">
      <c r="A157" s="35" t="s">
        <v>9</v>
      </c>
      <c r="B157">
        <v>2139.8000000000002</v>
      </c>
      <c r="C157" s="9">
        <v>8031.206975676916</v>
      </c>
      <c r="D157">
        <f t="shared" ref="D157:D160" si="14">C157*B157</f>
        <v>17185176.686553467</v>
      </c>
    </row>
    <row r="158" spans="1:4" x14ac:dyDescent="0.35">
      <c r="A158" s="35" t="s">
        <v>13</v>
      </c>
      <c r="B158">
        <v>5113</v>
      </c>
      <c r="C158" s="9">
        <v>2343.8964935308459</v>
      </c>
      <c r="D158">
        <f t="shared" si="14"/>
        <v>11984342.771423215</v>
      </c>
    </row>
    <row r="159" spans="1:4" x14ac:dyDescent="0.35">
      <c r="A159" s="35" t="s">
        <v>16</v>
      </c>
      <c r="B159" s="40">
        <v>1257.8</v>
      </c>
      <c r="C159" s="9">
        <v>7857.9286500078588</v>
      </c>
      <c r="D159">
        <f t="shared" si="14"/>
        <v>9883702.6559798848</v>
      </c>
    </row>
    <row r="160" spans="1:4" x14ac:dyDescent="0.35">
      <c r="A160" s="35" t="s">
        <v>17</v>
      </c>
      <c r="B160">
        <v>2028.6</v>
      </c>
      <c r="C160" s="9">
        <v>11547.877500115479</v>
      </c>
      <c r="D160">
        <f t="shared" si="14"/>
        <v>23426024.296734259</v>
      </c>
    </row>
    <row r="162" spans="1:4" x14ac:dyDescent="0.35">
      <c r="A162" s="14">
        <v>46184</v>
      </c>
      <c r="B162" t="s">
        <v>60</v>
      </c>
      <c r="C162" s="38">
        <v>10000000</v>
      </c>
      <c r="D162">
        <f>SUM(D156:D160)</f>
        <v>94518144.303721607</v>
      </c>
    </row>
    <row r="163" spans="1:4" x14ac:dyDescent="0.35">
      <c r="B163" t="s">
        <v>57</v>
      </c>
    </row>
    <row r="164" spans="1:4" x14ac:dyDescent="0.35">
      <c r="B164" t="s">
        <v>58</v>
      </c>
      <c r="C164" t="s">
        <v>59</v>
      </c>
      <c r="D164" s="37">
        <f>D162/C162</f>
        <v>9.4518144303721598</v>
      </c>
    </row>
    <row r="165" spans="1:4" x14ac:dyDescent="0.35">
      <c r="A165" s="8"/>
      <c r="B165" s="8"/>
      <c r="C165" s="8"/>
      <c r="D165" s="8"/>
    </row>
    <row r="167" spans="1:4" x14ac:dyDescent="0.35">
      <c r="A167" s="35" t="s">
        <v>8</v>
      </c>
      <c r="B167">
        <v>285.10000000000002</v>
      </c>
      <c r="C167" s="9">
        <v>113452.18800648299</v>
      </c>
      <c r="D167">
        <f>C167*B167</f>
        <v>32345218.800648302</v>
      </c>
    </row>
    <row r="168" spans="1:4" x14ac:dyDescent="0.35">
      <c r="A168" s="35" t="s">
        <v>9</v>
      </c>
      <c r="B168">
        <v>2168.8000000000002</v>
      </c>
      <c r="C168" s="9">
        <v>8031.206975676916</v>
      </c>
      <c r="D168">
        <f t="shared" ref="D168:D171" si="15">C168*B168</f>
        <v>17418081.688848097</v>
      </c>
    </row>
    <row r="169" spans="1:4" x14ac:dyDescent="0.35">
      <c r="A169" s="35" t="s">
        <v>13</v>
      </c>
      <c r="B169">
        <v>5165.5</v>
      </c>
      <c r="C169" s="9">
        <v>2343.8964935308459</v>
      </c>
      <c r="D169">
        <f t="shared" si="15"/>
        <v>12107397.337333584</v>
      </c>
    </row>
    <row r="170" spans="1:4" x14ac:dyDescent="0.35">
      <c r="A170" s="35" t="s">
        <v>16</v>
      </c>
      <c r="B170" s="40">
        <v>1272.4000000000001</v>
      </c>
      <c r="C170" s="9">
        <v>7857.9286500078588</v>
      </c>
      <c r="D170">
        <f t="shared" si="15"/>
        <v>9998428.4142700005</v>
      </c>
    </row>
    <row r="171" spans="1:4" x14ac:dyDescent="0.35">
      <c r="A171" s="35" t="s">
        <v>17</v>
      </c>
      <c r="B171">
        <v>2079</v>
      </c>
      <c r="C171" s="9">
        <v>11547.877500115479</v>
      </c>
      <c r="D171">
        <f t="shared" si="15"/>
        <v>24008037.322740082</v>
      </c>
    </row>
    <row r="173" spans="1:4" x14ac:dyDescent="0.35">
      <c r="A173" s="14">
        <v>46185</v>
      </c>
      <c r="B173" t="s">
        <v>60</v>
      </c>
      <c r="C173" s="38">
        <v>10000000</v>
      </c>
      <c r="D173">
        <f>SUM(D167:D171)</f>
        <v>95877163.563840061</v>
      </c>
    </row>
    <row r="174" spans="1:4" x14ac:dyDescent="0.35">
      <c r="B174" t="s">
        <v>57</v>
      </c>
    </row>
    <row r="175" spans="1:4" x14ac:dyDescent="0.35">
      <c r="B175" t="s">
        <v>58</v>
      </c>
      <c r="C175" t="s">
        <v>59</v>
      </c>
      <c r="D175" s="37">
        <f>D173/C173</f>
        <v>9.5877163563840053</v>
      </c>
    </row>
    <row r="176" spans="1:4" x14ac:dyDescent="0.35">
      <c r="A176" s="8"/>
      <c r="B176" s="8"/>
      <c r="C176" s="8"/>
      <c r="D176" s="8"/>
    </row>
    <row r="178" spans="1:4" x14ac:dyDescent="0.35">
      <c r="A178" s="35" t="s">
        <v>8</v>
      </c>
      <c r="B178">
        <v>285.10000000000002</v>
      </c>
      <c r="C178" s="9">
        <v>113452.18800648299</v>
      </c>
      <c r="D178">
        <f>C178*B178</f>
        <v>32345218.800648302</v>
      </c>
    </row>
    <row r="179" spans="1:4" x14ac:dyDescent="0.35">
      <c r="A179" s="35" t="s">
        <v>9</v>
      </c>
      <c r="B179">
        <v>2168.8000000000002</v>
      </c>
      <c r="C179" s="9">
        <v>8031.206975676916</v>
      </c>
      <c r="D179">
        <f t="shared" ref="D179:D182" si="16">C179*B179</f>
        <v>17418081.688848097</v>
      </c>
    </row>
    <row r="180" spans="1:4" x14ac:dyDescent="0.35">
      <c r="A180" s="35" t="s">
        <v>13</v>
      </c>
      <c r="B180">
        <v>5165.5</v>
      </c>
      <c r="C180" s="9">
        <v>2343.8964935308459</v>
      </c>
      <c r="D180">
        <f t="shared" si="16"/>
        <v>12107397.337333584</v>
      </c>
    </row>
    <row r="181" spans="1:4" x14ac:dyDescent="0.35">
      <c r="A181" s="35" t="s">
        <v>16</v>
      </c>
      <c r="B181" s="40">
        <v>1272.4000000000001</v>
      </c>
      <c r="C181" s="9">
        <v>7857.9286500078588</v>
      </c>
      <c r="D181">
        <f t="shared" si="16"/>
        <v>9998428.4142700005</v>
      </c>
    </row>
    <row r="182" spans="1:4" x14ac:dyDescent="0.35">
      <c r="A182" s="35" t="s">
        <v>17</v>
      </c>
      <c r="B182">
        <v>2079</v>
      </c>
      <c r="C182" s="9">
        <v>11547.877500115479</v>
      </c>
      <c r="D182">
        <f t="shared" si="16"/>
        <v>24008037.322740082</v>
      </c>
    </row>
    <row r="184" spans="1:4" x14ac:dyDescent="0.35">
      <c r="A184" s="14">
        <v>46185</v>
      </c>
      <c r="B184" t="s">
        <v>60</v>
      </c>
      <c r="C184" s="38">
        <v>10000000</v>
      </c>
      <c r="D184">
        <f>SUM(D178:D182)</f>
        <v>95877163.563840061</v>
      </c>
    </row>
    <row r="185" spans="1:4" x14ac:dyDescent="0.35">
      <c r="B185" t="s">
        <v>57</v>
      </c>
    </row>
    <row r="186" spans="1:4" x14ac:dyDescent="0.35">
      <c r="B186" t="s">
        <v>58</v>
      </c>
      <c r="C186" t="s">
        <v>59</v>
      </c>
      <c r="D186" s="37">
        <f>D184/C184</f>
        <v>9.5877163563840053</v>
      </c>
    </row>
    <row r="187" spans="1:4" x14ac:dyDescent="0.35">
      <c r="A187" s="8"/>
      <c r="B187" s="8"/>
      <c r="C187" s="8"/>
      <c r="D187" s="8"/>
    </row>
    <row r="189" spans="1:4" x14ac:dyDescent="0.35">
      <c r="A189" s="35" t="s">
        <v>8</v>
      </c>
      <c r="B189">
        <v>287.89999999999998</v>
      </c>
      <c r="C189" s="9">
        <v>113452.18800648299</v>
      </c>
      <c r="D189">
        <f>C189*B189</f>
        <v>32662884.927066449</v>
      </c>
    </row>
    <row r="190" spans="1:4" x14ac:dyDescent="0.35">
      <c r="A190" s="35" t="s">
        <v>9</v>
      </c>
      <c r="B190">
        <v>2155.9</v>
      </c>
      <c r="C190" s="9">
        <v>8031.206975676916</v>
      </c>
      <c r="D190">
        <f t="shared" ref="D190:D193" si="17">C190*B190</f>
        <v>17314479.118861865</v>
      </c>
    </row>
    <row r="191" spans="1:4" x14ac:dyDescent="0.35">
      <c r="A191" s="35" t="s">
        <v>13</v>
      </c>
      <c r="B191">
        <v>5199.5</v>
      </c>
      <c r="C191" s="9">
        <v>2343.8964935308459</v>
      </c>
      <c r="D191">
        <f t="shared" si="17"/>
        <v>12187089.818113633</v>
      </c>
    </row>
    <row r="192" spans="1:4" x14ac:dyDescent="0.35">
      <c r="A192" s="35" t="s">
        <v>16</v>
      </c>
      <c r="B192" s="40">
        <v>1271.5</v>
      </c>
      <c r="C192" s="9">
        <v>7857.9286500078588</v>
      </c>
      <c r="D192">
        <f t="shared" si="17"/>
        <v>9991356.2784849927</v>
      </c>
    </row>
    <row r="193" spans="1:4" x14ac:dyDescent="0.35">
      <c r="A193" s="35" t="s">
        <v>17</v>
      </c>
      <c r="B193">
        <v>2106.9</v>
      </c>
      <c r="C193" s="9">
        <v>11547.877500115479</v>
      </c>
      <c r="D193">
        <f t="shared" si="17"/>
        <v>24330223.104993302</v>
      </c>
    </row>
    <row r="195" spans="1:4" x14ac:dyDescent="0.35">
      <c r="A195" s="14">
        <v>46188</v>
      </c>
      <c r="B195" t="s">
        <v>60</v>
      </c>
      <c r="C195" s="38">
        <v>10000000</v>
      </c>
      <c r="D195">
        <f>SUM(D189:D193)</f>
        <v>96486033.247520238</v>
      </c>
    </row>
    <row r="196" spans="1:4" x14ac:dyDescent="0.35">
      <c r="B196" t="s">
        <v>57</v>
      </c>
    </row>
    <row r="197" spans="1:4" x14ac:dyDescent="0.35">
      <c r="B197" t="s">
        <v>58</v>
      </c>
      <c r="C197" t="s">
        <v>59</v>
      </c>
      <c r="D197" s="37">
        <f>D195/C195</f>
        <v>9.648603324752024</v>
      </c>
    </row>
    <row r="198" spans="1:4" x14ac:dyDescent="0.35">
      <c r="A198" s="8"/>
      <c r="B198" s="8"/>
      <c r="C198" s="8"/>
      <c r="D198" s="8"/>
    </row>
    <row r="200" spans="1:4" x14ac:dyDescent="0.35">
      <c r="A200" s="35" t="s">
        <v>8</v>
      </c>
      <c r="B200">
        <v>285.10000000000002</v>
      </c>
      <c r="C200" s="9">
        <v>113452.18800648299</v>
      </c>
      <c r="D200">
        <f>C200*B200</f>
        <v>32345218.800648302</v>
      </c>
    </row>
    <row r="201" spans="1:4" x14ac:dyDescent="0.35">
      <c r="A201" s="35" t="s">
        <v>9</v>
      </c>
      <c r="B201">
        <v>2168.8000000000002</v>
      </c>
      <c r="C201" s="9">
        <v>8031.206975676916</v>
      </c>
      <c r="D201">
        <f t="shared" ref="D201:D204" si="18">C201*B201</f>
        <v>17418081.688848097</v>
      </c>
    </row>
    <row r="202" spans="1:4" x14ac:dyDescent="0.35">
      <c r="A202" s="35" t="s">
        <v>13</v>
      </c>
      <c r="B202">
        <v>5286.2</v>
      </c>
      <c r="C202" s="9">
        <v>2343.8964935308459</v>
      </c>
      <c r="D202">
        <f t="shared" si="18"/>
        <v>12390305.644102758</v>
      </c>
    </row>
    <row r="203" spans="1:4" x14ac:dyDescent="0.35">
      <c r="A203" s="35" t="s">
        <v>16</v>
      </c>
      <c r="B203" s="40">
        <v>808.45</v>
      </c>
      <c r="C203" s="9">
        <v>7857.9286500078588</v>
      </c>
      <c r="D203">
        <f t="shared" si="18"/>
        <v>6352742.4170988537</v>
      </c>
    </row>
    <row r="204" spans="1:4" x14ac:dyDescent="0.35">
      <c r="A204" s="35" t="s">
        <v>17</v>
      </c>
      <c r="B204">
        <v>2124.75</v>
      </c>
      <c r="C204" s="9">
        <v>11547.877500115479</v>
      </c>
      <c r="D204">
        <f t="shared" si="18"/>
        <v>24536352.718370363</v>
      </c>
    </row>
    <row r="206" spans="1:4" x14ac:dyDescent="0.35">
      <c r="A206" s="14">
        <v>46189</v>
      </c>
      <c r="B206" t="s">
        <v>60</v>
      </c>
      <c r="C206" s="38">
        <v>10000000</v>
      </c>
      <c r="D206">
        <f>SUM(D200:D204)</f>
        <v>93042701.269068375</v>
      </c>
    </row>
    <row r="207" spans="1:4" x14ac:dyDescent="0.35">
      <c r="B207" t="s">
        <v>57</v>
      </c>
    </row>
    <row r="208" spans="1:4" x14ac:dyDescent="0.35">
      <c r="B208" t="s">
        <v>58</v>
      </c>
      <c r="C208" t="s">
        <v>59</v>
      </c>
      <c r="D208" s="37">
        <f>D206/C206</f>
        <v>9.3042701269068377</v>
      </c>
    </row>
    <row r="209" spans="1:4" x14ac:dyDescent="0.35">
      <c r="A209" s="8"/>
      <c r="B209" s="8"/>
      <c r="C209" s="8"/>
      <c r="D209" s="8"/>
    </row>
    <row r="211" spans="1:4" x14ac:dyDescent="0.35">
      <c r="A211" s="35" t="s">
        <v>8</v>
      </c>
      <c r="B211">
        <v>290.75</v>
      </c>
      <c r="C211" s="9">
        <v>113452.18800648299</v>
      </c>
      <c r="D211">
        <f>C211*B211</f>
        <v>32986223.662884928</v>
      </c>
    </row>
    <row r="212" spans="1:4" x14ac:dyDescent="0.35">
      <c r="A212" s="35" t="s">
        <v>9</v>
      </c>
      <c r="B212">
        <v>2197.6</v>
      </c>
      <c r="C212" s="9">
        <v>8031.206975676916</v>
      </c>
      <c r="D212">
        <f t="shared" ref="D212:D215" si="19">C212*B212</f>
        <v>17649380.449747588</v>
      </c>
    </row>
    <row r="213" spans="1:4" x14ac:dyDescent="0.35">
      <c r="A213" s="35" t="s">
        <v>13</v>
      </c>
      <c r="B213">
        <v>5232</v>
      </c>
      <c r="C213" s="9">
        <v>2343.8964935308459</v>
      </c>
      <c r="D213">
        <f t="shared" si="19"/>
        <v>12263266.454153385</v>
      </c>
    </row>
    <row r="214" spans="1:4" x14ac:dyDescent="0.35">
      <c r="A214" s="35" t="s">
        <v>16</v>
      </c>
      <c r="B214" s="40">
        <v>1308</v>
      </c>
      <c r="C214" s="9">
        <v>7857.9286500078588</v>
      </c>
      <c r="D214">
        <f t="shared" si="19"/>
        <v>10278170.67421028</v>
      </c>
    </row>
    <row r="215" spans="1:4" x14ac:dyDescent="0.35">
      <c r="A215" s="35" t="s">
        <v>17</v>
      </c>
      <c r="B215">
        <v>2034.2</v>
      </c>
      <c r="C215" s="9">
        <v>11547.877500115479</v>
      </c>
      <c r="D215">
        <f t="shared" si="19"/>
        <v>23490692.410734907</v>
      </c>
    </row>
    <row r="217" spans="1:4" x14ac:dyDescent="0.35">
      <c r="A217" s="14">
        <v>46190</v>
      </c>
      <c r="B217" t="s">
        <v>60</v>
      </c>
      <c r="C217" s="38">
        <v>10000000</v>
      </c>
      <c r="D217">
        <f>SUM(D211:D215)</f>
        <v>96667733.651731089</v>
      </c>
    </row>
    <row r="218" spans="1:4" x14ac:dyDescent="0.35">
      <c r="B218" t="s">
        <v>57</v>
      </c>
    </row>
    <row r="219" spans="1:4" x14ac:dyDescent="0.35">
      <c r="B219" t="s">
        <v>58</v>
      </c>
      <c r="C219" t="s">
        <v>59</v>
      </c>
      <c r="D219" s="37">
        <f>D217/C217</f>
        <v>9.6667733651731087</v>
      </c>
    </row>
    <row r="220" spans="1:4" x14ac:dyDescent="0.35">
      <c r="A220" s="8"/>
      <c r="B220" s="8"/>
      <c r="C220" s="8"/>
      <c r="D220" s="8"/>
    </row>
    <row r="222" spans="1:4" x14ac:dyDescent="0.35">
      <c r="A222" s="35" t="s">
        <v>8</v>
      </c>
      <c r="B222">
        <v>291.14999999999998</v>
      </c>
      <c r="C222" s="9">
        <v>113452.18800648299</v>
      </c>
      <c r="D222">
        <f>C222*B222</f>
        <v>33031604.538087521</v>
      </c>
    </row>
    <row r="223" spans="1:4" x14ac:dyDescent="0.35">
      <c r="A223" s="35" t="s">
        <v>9</v>
      </c>
      <c r="B223">
        <v>2218.5</v>
      </c>
      <c r="C223" s="9">
        <v>8031.206975676916</v>
      </c>
      <c r="D223">
        <f t="shared" ref="D223:D226" si="20">C223*B223</f>
        <v>17817232.675539237</v>
      </c>
    </row>
    <row r="224" spans="1:4" x14ac:dyDescent="0.35">
      <c r="A224" s="35" t="s">
        <v>13</v>
      </c>
      <c r="B224">
        <v>5245</v>
      </c>
      <c r="C224" s="9">
        <v>2343.8964935308459</v>
      </c>
      <c r="D224">
        <f t="shared" si="20"/>
        <v>12293737.108569287</v>
      </c>
    </row>
    <row r="225" spans="1:4" x14ac:dyDescent="0.35">
      <c r="A225" s="35" t="s">
        <v>16</v>
      </c>
      <c r="B225" s="40">
        <v>1350.3</v>
      </c>
      <c r="C225" s="9">
        <v>7857.9286500078588</v>
      </c>
      <c r="D225">
        <f t="shared" si="20"/>
        <v>10610561.056105612</v>
      </c>
    </row>
    <row r="226" spans="1:4" x14ac:dyDescent="0.35">
      <c r="A226" s="35" t="s">
        <v>17</v>
      </c>
      <c r="B226">
        <v>2027.3</v>
      </c>
      <c r="C226" s="9">
        <v>11547.877500115479</v>
      </c>
      <c r="D226">
        <f t="shared" si="20"/>
        <v>23411012.05598411</v>
      </c>
    </row>
    <row r="228" spans="1:4" x14ac:dyDescent="0.35">
      <c r="A228" s="14">
        <v>46191</v>
      </c>
      <c r="B228" t="s">
        <v>60</v>
      </c>
      <c r="C228" s="38">
        <v>10000000</v>
      </c>
      <c r="D228">
        <f>SUM(D222:D226)</f>
        <v>97164147.43428576</v>
      </c>
    </row>
    <row r="229" spans="1:4" x14ac:dyDescent="0.35">
      <c r="B229" t="s">
        <v>57</v>
      </c>
    </row>
    <row r="230" spans="1:4" x14ac:dyDescent="0.35">
      <c r="B230" t="s">
        <v>58</v>
      </c>
      <c r="C230" t="s">
        <v>59</v>
      </c>
      <c r="D230" s="37">
        <f>D228/C228</f>
        <v>9.7164147434285759</v>
      </c>
    </row>
    <row r="231" spans="1:4" x14ac:dyDescent="0.35">
      <c r="A231" s="8"/>
      <c r="B231" s="8"/>
      <c r="C231" s="8"/>
      <c r="D231" s="8"/>
    </row>
    <row r="233" spans="1:4" x14ac:dyDescent="0.35">
      <c r="A233" s="35" t="s">
        <v>8</v>
      </c>
      <c r="B233">
        <v>292.5</v>
      </c>
      <c r="C233" s="9">
        <v>113452.18800648299</v>
      </c>
      <c r="D233">
        <f>C233*B233</f>
        <v>33184764.991896275</v>
      </c>
    </row>
    <row r="234" spans="1:4" x14ac:dyDescent="0.35">
      <c r="A234" s="35" t="s">
        <v>9</v>
      </c>
      <c r="B234">
        <v>2194.6</v>
      </c>
      <c r="C234" s="9">
        <v>8031.206975676916</v>
      </c>
      <c r="D234">
        <f t="shared" ref="D234:D237" si="21">C234*B234</f>
        <v>17625286.82882056</v>
      </c>
    </row>
    <row r="235" spans="1:4" x14ac:dyDescent="0.35">
      <c r="A235" s="35" t="s">
        <v>13</v>
      </c>
      <c r="B235">
        <v>5195</v>
      </c>
      <c r="C235" s="9">
        <v>2343.8964935308459</v>
      </c>
      <c r="D235">
        <f t="shared" si="21"/>
        <v>12176542.283892745</v>
      </c>
    </row>
    <row r="236" spans="1:4" x14ac:dyDescent="0.35">
      <c r="A236" s="35" t="s">
        <v>16</v>
      </c>
      <c r="B236" s="40">
        <v>1320.5</v>
      </c>
      <c r="C236" s="9">
        <v>7857.9286500078588</v>
      </c>
      <c r="D236">
        <f t="shared" si="21"/>
        <v>10376394.782335378</v>
      </c>
    </row>
    <row r="237" spans="1:4" x14ac:dyDescent="0.35">
      <c r="A237" s="35" t="s">
        <v>17</v>
      </c>
      <c r="B237">
        <v>1997.8</v>
      </c>
      <c r="C237" s="9">
        <v>11547.877500115479</v>
      </c>
      <c r="D237">
        <f t="shared" si="21"/>
        <v>23070349.669730704</v>
      </c>
    </row>
    <row r="239" spans="1:4" x14ac:dyDescent="0.35">
      <c r="A239" s="14">
        <v>46192</v>
      </c>
      <c r="B239" t="s">
        <v>60</v>
      </c>
      <c r="C239" s="38">
        <v>10000000</v>
      </c>
      <c r="D239">
        <f>SUM(D233:D237)</f>
        <v>96433338.556675658</v>
      </c>
    </row>
    <row r="240" spans="1:4" x14ac:dyDescent="0.35">
      <c r="B240" t="s">
        <v>57</v>
      </c>
    </row>
    <row r="241" spans="1:4" x14ac:dyDescent="0.35">
      <c r="B241" t="s">
        <v>58</v>
      </c>
      <c r="C241" t="s">
        <v>59</v>
      </c>
      <c r="D241" s="37">
        <f>D239/C239</f>
        <v>9.6433338556675654</v>
      </c>
    </row>
    <row r="242" spans="1:4" x14ac:dyDescent="0.35">
      <c r="A242" s="8"/>
      <c r="B242" s="8"/>
      <c r="C242" s="8"/>
      <c r="D242" s="8"/>
    </row>
    <row r="244" spans="1:4" x14ac:dyDescent="0.35">
      <c r="A244" s="35" t="s">
        <v>8</v>
      </c>
      <c r="B244">
        <v>291.25</v>
      </c>
      <c r="C244" s="9">
        <v>113452.18800648299</v>
      </c>
      <c r="D244">
        <f>C244*B244</f>
        <v>33042949.75688817</v>
      </c>
    </row>
    <row r="245" spans="1:4" x14ac:dyDescent="0.35">
      <c r="A245" s="35" t="s">
        <v>9</v>
      </c>
      <c r="B245">
        <v>2184.9</v>
      </c>
      <c r="C245" s="9">
        <v>8031.206975676916</v>
      </c>
      <c r="D245">
        <f t="shared" ref="D245:D248" si="22">C245*B245</f>
        <v>17547384.121156495</v>
      </c>
    </row>
    <row r="246" spans="1:4" x14ac:dyDescent="0.35">
      <c r="A246" s="35" t="s">
        <v>13</v>
      </c>
      <c r="B246">
        <v>5217.5</v>
      </c>
      <c r="C246" s="9">
        <v>2343.8964935308459</v>
      </c>
      <c r="D246">
        <f t="shared" si="22"/>
        <v>12229279.954997187</v>
      </c>
    </row>
    <row r="247" spans="1:4" x14ac:dyDescent="0.35">
      <c r="A247" s="35" t="s">
        <v>16</v>
      </c>
      <c r="B247" s="40">
        <v>1343.1</v>
      </c>
      <c r="C247" s="9">
        <v>7857.9286500078588</v>
      </c>
      <c r="D247">
        <f t="shared" si="22"/>
        <v>10553983.969825555</v>
      </c>
    </row>
    <row r="248" spans="1:4" x14ac:dyDescent="0.35">
      <c r="A248" s="35" t="s">
        <v>17</v>
      </c>
      <c r="B248">
        <v>1982</v>
      </c>
      <c r="C248" s="9">
        <v>11547.877500115479</v>
      </c>
      <c r="D248">
        <f t="shared" si="22"/>
        <v>22887893.20522888</v>
      </c>
    </row>
    <row r="250" spans="1:4" x14ac:dyDescent="0.35">
      <c r="A250" s="14">
        <v>46195</v>
      </c>
      <c r="B250" t="s">
        <v>60</v>
      </c>
      <c r="C250" s="38">
        <v>10000000</v>
      </c>
      <c r="D250">
        <f>SUM(D244:D248)</f>
        <v>96261491.008096293</v>
      </c>
    </row>
    <row r="251" spans="1:4" x14ac:dyDescent="0.35">
      <c r="B251" t="s">
        <v>57</v>
      </c>
    </row>
    <row r="252" spans="1:4" x14ac:dyDescent="0.35">
      <c r="B252" t="s">
        <v>58</v>
      </c>
      <c r="C252" t="s">
        <v>59</v>
      </c>
      <c r="D252" s="37">
        <f>D250/C250</f>
        <v>9.6261491008096289</v>
      </c>
    </row>
    <row r="253" spans="1:4" x14ac:dyDescent="0.35">
      <c r="A253" s="8"/>
      <c r="B253" s="8"/>
      <c r="C253" s="8"/>
      <c r="D253" s="8"/>
    </row>
    <row r="255" spans="1:4" x14ac:dyDescent="0.35">
      <c r="A255" s="35" t="s">
        <v>8</v>
      </c>
      <c r="B255">
        <v>290</v>
      </c>
      <c r="C255" s="9">
        <v>113452.18800648299</v>
      </c>
      <c r="D255">
        <f>C255*B255</f>
        <v>32901134.521880068</v>
      </c>
    </row>
    <row r="256" spans="1:4" x14ac:dyDescent="0.35">
      <c r="A256" s="35" t="s">
        <v>9</v>
      </c>
      <c r="B256">
        <v>2160</v>
      </c>
      <c r="C256" s="9">
        <v>8031.206975676916</v>
      </c>
      <c r="D256">
        <f t="shared" ref="D256:D259" si="23">C256*B256</f>
        <v>17347407.067462139</v>
      </c>
    </row>
    <row r="257" spans="1:4" x14ac:dyDescent="0.35">
      <c r="A257" s="35" t="s">
        <v>13</v>
      </c>
      <c r="B257">
        <v>5241</v>
      </c>
      <c r="C257" s="9">
        <v>2343.8964935308459</v>
      </c>
      <c r="D257">
        <f t="shared" si="23"/>
        <v>12284361.522595163</v>
      </c>
    </row>
    <row r="258" spans="1:4" x14ac:dyDescent="0.35">
      <c r="A258" s="35" t="s">
        <v>16</v>
      </c>
      <c r="B258" s="40">
        <v>1337.7</v>
      </c>
      <c r="C258" s="9">
        <v>7857.9286500078588</v>
      </c>
      <c r="D258">
        <f t="shared" si="23"/>
        <v>10511551.155115513</v>
      </c>
    </row>
    <row r="259" spans="1:4" x14ac:dyDescent="0.35">
      <c r="A259" s="35" t="s">
        <v>17</v>
      </c>
      <c r="B259">
        <v>1980.5</v>
      </c>
      <c r="C259" s="9">
        <v>11547.877500115479</v>
      </c>
      <c r="D259">
        <f t="shared" si="23"/>
        <v>22870571.388978705</v>
      </c>
    </row>
    <row r="261" spans="1:4" x14ac:dyDescent="0.35">
      <c r="A261" s="14">
        <v>46196</v>
      </c>
      <c r="B261" t="s">
        <v>60</v>
      </c>
      <c r="C261" s="38">
        <v>10000000</v>
      </c>
      <c r="D261">
        <f>SUM(D255:D259)</f>
        <v>95915025.656031594</v>
      </c>
    </row>
    <row r="262" spans="1:4" x14ac:dyDescent="0.35">
      <c r="B262" t="s">
        <v>57</v>
      </c>
    </row>
    <row r="263" spans="1:4" x14ac:dyDescent="0.35">
      <c r="B263" t="s">
        <v>58</v>
      </c>
      <c r="C263" t="s">
        <v>59</v>
      </c>
      <c r="D263" s="37">
        <f>D261/C261</f>
        <v>9.5915025656031592</v>
      </c>
    </row>
    <row r="264" spans="1:4" x14ac:dyDescent="0.35">
      <c r="A264" s="8"/>
      <c r="B264" s="8"/>
      <c r="C264" s="8"/>
      <c r="D264" s="8"/>
    </row>
    <row r="266" spans="1:4" x14ac:dyDescent="0.35">
      <c r="A266" s="35" t="s">
        <v>8</v>
      </c>
      <c r="B266">
        <v>290.35000000000002</v>
      </c>
      <c r="C266" s="9">
        <v>113452.18800648299</v>
      </c>
      <c r="D266">
        <f>C266*B266</f>
        <v>32940842.78768234</v>
      </c>
    </row>
    <row r="267" spans="1:4" x14ac:dyDescent="0.35">
      <c r="A267" s="35" t="s">
        <v>9</v>
      </c>
      <c r="B267">
        <v>2157.8000000000002</v>
      </c>
      <c r="C267" s="9">
        <v>8031.206975676916</v>
      </c>
      <c r="D267">
        <f t="shared" ref="D267:D270" si="24">C267*B267</f>
        <v>17329738.412115652</v>
      </c>
    </row>
    <row r="268" spans="1:4" x14ac:dyDescent="0.35">
      <c r="A268" s="35" t="s">
        <v>13</v>
      </c>
      <c r="B268">
        <v>5262.5</v>
      </c>
      <c r="C268" s="9">
        <v>2343.8964935308459</v>
      </c>
      <c r="D268">
        <f t="shared" si="24"/>
        <v>12334755.297206076</v>
      </c>
    </row>
    <row r="269" spans="1:4" x14ac:dyDescent="0.35">
      <c r="A269" s="35" t="s">
        <v>16</v>
      </c>
      <c r="B269" s="40">
        <v>1359.1</v>
      </c>
      <c r="C269" s="9">
        <v>7857.9286500078588</v>
      </c>
      <c r="D269">
        <f t="shared" si="24"/>
        <v>10679710.82822568</v>
      </c>
    </row>
    <row r="270" spans="1:4" x14ac:dyDescent="0.35">
      <c r="A270" s="35" t="s">
        <v>17</v>
      </c>
      <c r="B270">
        <v>1965.3</v>
      </c>
      <c r="C270" s="9">
        <v>11547.877500115479</v>
      </c>
      <c r="D270">
        <f t="shared" si="24"/>
        <v>22695043.650976952</v>
      </c>
    </row>
    <row r="272" spans="1:4" x14ac:dyDescent="0.35">
      <c r="A272" s="14">
        <v>46197</v>
      </c>
      <c r="B272" t="s">
        <v>60</v>
      </c>
      <c r="C272" s="38">
        <v>10000000</v>
      </c>
      <c r="D272">
        <f>SUM(D266:D270)</f>
        <v>95980090.97620669</v>
      </c>
    </row>
    <row r="273" spans="1:4" x14ac:dyDescent="0.35">
      <c r="B273" t="s">
        <v>57</v>
      </c>
    </row>
    <row r="274" spans="1:4" x14ac:dyDescent="0.35">
      <c r="B274" t="s">
        <v>58</v>
      </c>
      <c r="C274" t="s">
        <v>59</v>
      </c>
      <c r="D274" s="37">
        <f>D272/C272</f>
        <v>9.5980090976206682</v>
      </c>
    </row>
    <row r="275" spans="1:4" x14ac:dyDescent="0.35">
      <c r="A275" s="8"/>
      <c r="B275" s="8"/>
      <c r="C275" s="8"/>
      <c r="D275" s="8"/>
    </row>
    <row r="277" spans="1:4" x14ac:dyDescent="0.35">
      <c r="A277" s="35" t="s">
        <v>8</v>
      </c>
      <c r="B277">
        <v>290</v>
      </c>
      <c r="C277" s="9">
        <v>113452.18800648299</v>
      </c>
      <c r="D277">
        <f>C277*B277</f>
        <v>32901134.521880068</v>
      </c>
    </row>
    <row r="278" spans="1:4" x14ac:dyDescent="0.35">
      <c r="A278" s="35" t="s">
        <v>9</v>
      </c>
      <c r="B278">
        <v>2174.1999999999998</v>
      </c>
      <c r="C278" s="9">
        <v>8031.206975676916</v>
      </c>
      <c r="D278">
        <f t="shared" ref="D278:D281" si="25">C278*B278</f>
        <v>17461450.20651675</v>
      </c>
    </row>
    <row r="279" spans="1:4" x14ac:dyDescent="0.35">
      <c r="A279" s="35" t="s">
        <v>13</v>
      </c>
      <c r="B279">
        <v>5237</v>
      </c>
      <c r="C279" s="9">
        <v>2343.8964935308459</v>
      </c>
      <c r="D279">
        <f t="shared" si="25"/>
        <v>12274985.93662104</v>
      </c>
    </row>
    <row r="280" spans="1:4" x14ac:dyDescent="0.35">
      <c r="A280" s="35" t="s">
        <v>16</v>
      </c>
      <c r="B280" s="40">
        <v>1384.9</v>
      </c>
      <c r="C280" s="9">
        <v>7857.9286500078588</v>
      </c>
      <c r="D280">
        <f t="shared" si="25"/>
        <v>10882445.387395885</v>
      </c>
    </row>
    <row r="281" spans="1:4" x14ac:dyDescent="0.35">
      <c r="A281" s="35" t="s">
        <v>17</v>
      </c>
      <c r="B281">
        <v>1993</v>
      </c>
      <c r="C281" s="9">
        <v>11547.877500115479</v>
      </c>
      <c r="D281">
        <f t="shared" si="25"/>
        <v>23014919.85773015</v>
      </c>
    </row>
    <row r="283" spans="1:4" x14ac:dyDescent="0.35">
      <c r="A283" s="14">
        <v>46198</v>
      </c>
      <c r="B283" t="s">
        <v>60</v>
      </c>
      <c r="C283" s="38">
        <v>10000000</v>
      </c>
      <c r="D283">
        <f>SUM(D277:D281)</f>
        <v>96534935.910143897</v>
      </c>
    </row>
    <row r="284" spans="1:4" x14ac:dyDescent="0.35">
      <c r="B284" t="s">
        <v>57</v>
      </c>
    </row>
    <row r="285" spans="1:4" x14ac:dyDescent="0.35">
      <c r="B285" t="s">
        <v>58</v>
      </c>
      <c r="C285" t="s">
        <v>59</v>
      </c>
      <c r="D285" s="37">
        <f>D283/C283</f>
        <v>9.6534935910143904</v>
      </c>
    </row>
    <row r="286" spans="1:4" x14ac:dyDescent="0.35">
      <c r="A286" s="8"/>
      <c r="B286" s="8"/>
      <c r="C286" s="8"/>
      <c r="D28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Analysis</vt:lpstr>
      <vt:lpstr>Ratios</vt:lpstr>
      <vt:lpstr>Asset Allocation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nishtha.dalal0025@outlook.com</dc:creator>
  <cp:lastModifiedBy>nishtha.dalal0025@outlook.com</cp:lastModifiedBy>
  <dcterms:created xsi:type="dcterms:W3CDTF">2026-05-21T12:56:20Z</dcterms:created>
  <dcterms:modified xsi:type="dcterms:W3CDTF">2026-07-03T20:38:31Z</dcterms:modified>
</cp:coreProperties>
</file>